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Apurvi_Bajpai_FP&amp;A_Portfolio\CS03_NYKAA_IPO\"/>
    </mc:Choice>
  </mc:AlternateContent>
  <xr:revisionPtr revIDLastSave="0" documentId="13_ncr:1_{DC4DCF81-8B7E-448D-A349-A4ECBF32108F}" xr6:coauthVersionLast="47" xr6:coauthVersionMax="47" xr10:uidLastSave="{00000000-0000-0000-0000-000000000000}"/>
  <bookViews>
    <workbookView xWindow="7764" yWindow="0" windowWidth="15372" windowHeight="12336" firstSheet="2" activeTab="3" xr2:uid="{B47DB39E-2DF8-42DF-AEFA-BAA315624893}"/>
  </bookViews>
  <sheets>
    <sheet name="Case Overview" sheetId="1" r:id="rId1"/>
    <sheet name="Financial Data" sheetId="2" r:id="rId2"/>
    <sheet name="Financial Analysis" sheetId="3" r:id="rId3"/>
    <sheet name="Dashboards" sheetId="4" r:id="rId4"/>
    <sheet name="Conclusion" sheetId="6" r:id="rId5"/>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0" i="3" l="1"/>
  <c r="B8" i="4"/>
  <c r="D9" i="3"/>
  <c r="F8" i="4" s="1"/>
  <c r="D8" i="4"/>
  <c r="E10" i="3"/>
  <c r="E23" i="3"/>
  <c r="F23" i="3"/>
  <c r="G23" i="3"/>
  <c r="H23" i="3"/>
  <c r="D23" i="3"/>
  <c r="D38" i="2"/>
  <c r="E38" i="2"/>
  <c r="F38" i="2"/>
  <c r="G38" i="2"/>
  <c r="C38" i="2"/>
  <c r="L11" i="3"/>
  <c r="E22" i="3"/>
  <c r="F22" i="3"/>
  <c r="G22" i="3"/>
  <c r="L10" i="3" s="1"/>
  <c r="H22" i="3"/>
  <c r="L8" i="4" s="1"/>
  <c r="D22" i="3"/>
  <c r="E21" i="3"/>
  <c r="F21" i="3"/>
  <c r="G21" i="3"/>
  <c r="H21" i="3"/>
  <c r="D21" i="3"/>
  <c r="E17" i="3"/>
  <c r="F17" i="3"/>
  <c r="G17" i="3"/>
  <c r="H17" i="3"/>
  <c r="D17" i="3"/>
  <c r="E16" i="3"/>
  <c r="F16" i="3"/>
  <c r="G16" i="3"/>
  <c r="H16" i="3"/>
  <c r="D16" i="3"/>
  <c r="E15" i="3"/>
  <c r="F15" i="3"/>
  <c r="G15" i="3"/>
  <c r="L9" i="3" s="1"/>
  <c r="H15" i="3"/>
  <c r="D15" i="3"/>
  <c r="E14" i="3"/>
  <c r="F14" i="3"/>
  <c r="G14" i="3"/>
  <c r="H14" i="3"/>
  <c r="I8" i="4" s="1"/>
  <c r="D14" i="3"/>
  <c r="F10" i="3"/>
  <c r="G10" i="3"/>
  <c r="H10" i="3"/>
  <c r="F8" i="3"/>
  <c r="G8" i="3"/>
  <c r="H8" i="3"/>
  <c r="E8" i="3"/>
  <c r="L8" i="3" s="1"/>
  <c r="L12" i="3" l="1"/>
</calcChain>
</file>

<file path=xl/sharedStrings.xml><?xml version="1.0" encoding="utf-8"?>
<sst xmlns="http://schemas.openxmlformats.org/spreadsheetml/2006/main" count="232" uniqueCount="161">
  <si>
    <t>Project Information</t>
  </si>
  <si>
    <t>Company</t>
  </si>
  <si>
    <t>Industry</t>
  </si>
  <si>
    <t>Item</t>
  </si>
  <si>
    <t>Details</t>
  </si>
  <si>
    <t>Nykaa</t>
  </si>
  <si>
    <t>Beauty &amp; Lifestyle</t>
  </si>
  <si>
    <t>Period</t>
  </si>
  <si>
    <t>Currency</t>
  </si>
  <si>
    <t>INR</t>
  </si>
  <si>
    <t>Project Type</t>
  </si>
  <si>
    <t>Business Context</t>
  </si>
  <si>
    <t>Did Nykaa's financial performance justify the premium valuation investors paid during its IPO?</t>
  </si>
  <si>
    <t>Objectives</t>
  </si>
  <si>
    <t>• Analyze revenue growth
• Evaluate profitability
• Study cash flow trends
• Compare IPO expectations with actual performance
• Form an investment conclusion</t>
  </si>
  <si>
    <t>KPIs</t>
  </si>
  <si>
    <t>Growth</t>
  </si>
  <si>
    <t>Profitability</t>
  </si>
  <si>
    <t>Revenue Growth</t>
  </si>
  <si>
    <t>Net Margin</t>
  </si>
  <si>
    <t>Revenue CAGR</t>
  </si>
  <si>
    <t>ROE</t>
  </si>
  <si>
    <t>Asset Growth</t>
  </si>
  <si>
    <t>ROA</t>
  </si>
  <si>
    <t>Operating Cash Flow</t>
  </si>
  <si>
    <t>Debt to Equity</t>
  </si>
  <si>
    <t>Scope</t>
  </si>
  <si>
    <t>Included</t>
  </si>
  <si>
    <t>Excluded</t>
  </si>
  <si>
    <t>•Financial Statements
•Trend Analysis
•Ratio Analysis
•Dashboard</t>
  </si>
  <si>
    <t>•DCF Valuation
•Forecasting
•Stock Analysis
•Technical Analysis</t>
  </si>
  <si>
    <t>Methodology</t>
  </si>
  <si>
    <t>Research → Collect → Analyze → Visualize → Recommend</t>
  </si>
  <si>
    <t>Workbook Guide</t>
  </si>
  <si>
    <t>Sheet</t>
  </si>
  <si>
    <t>Purpose</t>
  </si>
  <si>
    <t>Overview</t>
  </si>
  <si>
    <t>Project Summary</t>
  </si>
  <si>
    <t>Financial Data</t>
  </si>
  <si>
    <t>Historical Statements</t>
  </si>
  <si>
    <t>Financial Analysis</t>
  </si>
  <si>
    <t>KPI &amp; Ratio Analysis</t>
  </si>
  <si>
    <t>Dashboard</t>
  </si>
  <si>
    <t>Sources &amp; Notes</t>
  </si>
  <si>
    <t>References</t>
  </si>
  <si>
    <t xml:space="preserve"> Insights</t>
  </si>
  <si>
    <t>Market Hype or Financial Reality?</t>
  </si>
  <si>
    <t>NYKAA   IPO  ANALYSIS</t>
  </si>
  <si>
    <t>Equity Research Case Study</t>
  </si>
  <si>
    <t>Nykaa entered the public markets in 2021 as one of India's most successful consumer-tech IPOs. Strong revenue growth, a trusted beauty brand, and increasing digital adoption created high investor expectations. This project reviews Nykaa's financial performance from FY2022 to FY2025 to assess whether the premium valuation assigned during its IPO was ultimately supported by business fundamentals.</t>
  </si>
  <si>
    <t>Particulars</t>
  </si>
  <si>
    <t>FY22</t>
  </si>
  <si>
    <t>FY23</t>
  </si>
  <si>
    <t>FY24</t>
  </si>
  <si>
    <t>FY25</t>
  </si>
  <si>
    <t>Revenue from Operations</t>
  </si>
  <si>
    <t>Other Income</t>
  </si>
  <si>
    <t>Total Income</t>
  </si>
  <si>
    <t>Finance Cost</t>
  </si>
  <si>
    <t>Depreciation &amp; Amortization</t>
  </si>
  <si>
    <t>Profit After Tax (PAT)</t>
  </si>
  <si>
    <t>Statement of Profit &amp; Loss</t>
  </si>
  <si>
    <t>Balance Sheet</t>
  </si>
  <si>
    <t>Cash &amp; Cash Equivalents</t>
  </si>
  <si>
    <t>Inventories</t>
  </si>
  <si>
    <t>Trade Receivables</t>
  </si>
  <si>
    <t>Other Current Assets</t>
  </si>
  <si>
    <t>Property, Plant &amp; Equipment</t>
  </si>
  <si>
    <t>Total Assets</t>
  </si>
  <si>
    <t>Trade Payables</t>
  </si>
  <si>
    <t>Borrowings</t>
  </si>
  <si>
    <t>Other Liabilities</t>
  </si>
  <si>
    <t>Total Liabilities</t>
  </si>
  <si>
    <t>Equity Share Capital</t>
  </si>
  <si>
    <t>Total Equity</t>
  </si>
  <si>
    <t>Cash Flow Statement</t>
  </si>
  <si>
    <t>Cash Flow from Operating Activities</t>
  </si>
  <si>
    <t>Cash Flow from Investing Activities</t>
  </si>
  <si>
    <t>Cash Flow from Financing Activities</t>
  </si>
  <si>
    <t>Net Increase / (Decrease) in Cash</t>
  </si>
  <si>
    <t>Opening Cash Balance</t>
  </si>
  <si>
    <t>Closing Cash Balance</t>
  </si>
  <si>
    <t>FY21-22</t>
  </si>
  <si>
    <t>FY22-23</t>
  </si>
  <si>
    <t>FY23-24</t>
  </si>
  <si>
    <t>FY24-25</t>
  </si>
  <si>
    <t>Free Cash Flow</t>
  </si>
  <si>
    <t xml:space="preserve"> Figures in Rs. Crores </t>
  </si>
  <si>
    <t>FY25-26</t>
  </si>
  <si>
    <t>FY22–FY26</t>
  </si>
  <si>
    <t>A Five-Year Post-IPO Financial Review (FY2022–FY2026)</t>
  </si>
  <si>
    <t>—</t>
  </si>
  <si>
    <t>Operating Profit (EBIT)</t>
  </si>
  <si>
    <t>Profit Before Tax</t>
  </si>
  <si>
    <t>EPS</t>
  </si>
  <si>
    <t>Raw Financial Data (Summary of Financial Statements)</t>
  </si>
  <si>
    <t>Total Current Assets</t>
  </si>
  <si>
    <t>Other Non-Current Assets</t>
  </si>
  <si>
    <t>Other Equity (Reserves)</t>
  </si>
  <si>
    <r>
      <rPr>
        <b/>
        <sz val="13"/>
        <color theme="1"/>
        <rFont val="Century Gothic"/>
        <family val="2"/>
        <scheme val="minor"/>
      </rPr>
      <t>Source</t>
    </r>
    <r>
      <rPr>
        <sz val="13"/>
        <color theme="1"/>
        <rFont val="Century Gothic"/>
        <family val="2"/>
        <scheme val="minor"/>
      </rPr>
      <t>:
Annual Reports (FY22–FY26)
Cross-verified using Screener &amp; Groww.</t>
    </r>
  </si>
  <si>
    <t>EBITDA*</t>
  </si>
  <si>
    <t>*FY25-26 EBITDA not available in public summary sources.</t>
  </si>
  <si>
    <t>Financial Performance Review</t>
  </si>
  <si>
    <t>Metric</t>
  </si>
  <si>
    <t>FY26</t>
  </si>
  <si>
    <t>Revenue Growth %</t>
  </si>
  <si>
    <t>Asset Growth %</t>
  </si>
  <si>
    <t>Operating Margin %</t>
  </si>
  <si>
    <t>Net Profit Margin %</t>
  </si>
  <si>
    <t>ROA %</t>
  </si>
  <si>
    <t>ROE %</t>
  </si>
  <si>
    <t>Area</t>
  </si>
  <si>
    <t>Assessment</t>
  </si>
  <si>
    <t>Cash Flow</t>
  </si>
  <si>
    <t>Financial Position</t>
  </si>
  <si>
    <t>Overall Performance</t>
  </si>
  <si>
    <t>Growth Analysis</t>
  </si>
  <si>
    <t>Profitability Analysis</t>
  </si>
  <si>
    <t>Cash Flow &amp; Financial Position</t>
  </si>
  <si>
    <t>Overall Performance Assessment</t>
  </si>
  <si>
    <t>Note:</t>
  </si>
  <si>
    <r>
      <t xml:space="preserve">All financial figures are linked directly from the </t>
    </r>
    <r>
      <rPr>
        <b/>
        <sz val="14"/>
        <color theme="1"/>
        <rFont val="Century Gothic"/>
        <family val="2"/>
        <scheme val="minor"/>
      </rPr>
      <t>Financial Data</t>
    </r>
    <r>
      <rPr>
        <sz val="14"/>
        <color theme="1"/>
        <rFont val="Century Gothic"/>
        <family val="2"/>
        <scheme val="minor"/>
      </rPr>
      <t xml:space="preserve"> worksheet.
All ratios and performance metrics are calculated using </t>
    </r>
    <r>
      <rPr>
        <b/>
        <sz val="14"/>
        <color theme="1"/>
        <rFont val="Century Gothic"/>
        <family val="2"/>
        <scheme val="minor"/>
      </rPr>
      <t>Excel formulas</t>
    </r>
    <r>
      <rPr>
        <sz val="14"/>
        <color theme="1"/>
        <rFont val="Century Gothic"/>
        <family val="2"/>
        <scheme val="minor"/>
      </rPr>
      <t xml:space="preserve">.
Business assessments are based on the </t>
    </r>
    <r>
      <rPr>
        <b/>
        <sz val="14"/>
        <color theme="1"/>
        <rFont val="Century Gothic"/>
        <family val="2"/>
        <scheme val="minor"/>
      </rPr>
      <t>calculated results</t>
    </r>
    <r>
      <rPr>
        <sz val="14"/>
        <color theme="1"/>
        <rFont val="Century Gothic"/>
        <family val="2"/>
        <scheme val="minor"/>
      </rPr>
      <t>.</t>
    </r>
  </si>
  <si>
    <t>Debt-to-Equity</t>
  </si>
  <si>
    <t>N/A</t>
  </si>
  <si>
    <t xml:space="preserve">REVENUE </t>
  </si>
  <si>
    <t>NET PROFIT</t>
  </si>
  <si>
    <t>REVENUE CAGR</t>
  </si>
  <si>
    <t xml:space="preserve">OPERATING MARGIN </t>
  </si>
  <si>
    <t>FREE CASH FLOW</t>
  </si>
  <si>
    <t>Year</t>
  </si>
  <si>
    <t>Operating Margin</t>
  </si>
  <si>
    <t>Operating CF</t>
  </si>
  <si>
    <t>Free CF</t>
  </si>
  <si>
    <t>Insights</t>
  </si>
  <si>
    <t>Financial Performance Dashboards</t>
  </si>
  <si>
    <t>• Revenue increased from ₹3,774 Cr to ₹10,022 Cr,
  delivering a 21.6% CAGR.
• Operating margin improved from 4.35% to 7.50%.
• Cash flow turned positive by FY25.
• Net profit reached ₹204 Cr in FY26.
• Overall financial performance improved significantly during the post-IPO period.</t>
  </si>
  <si>
    <t>Business QUESTION</t>
  </si>
  <si>
    <t xml:space="preserve"> Conclusion</t>
  </si>
  <si>
    <t>Final Verdict</t>
  </si>
  <si>
    <t>Partially Yes</t>
  </si>
  <si>
    <t>Evidence</t>
  </si>
  <si>
    <t>Observation</t>
  </si>
  <si>
    <t>Strong and consistent growth</t>
  </si>
  <si>
    <r>
      <t xml:space="preserve">Revenue increased from </t>
    </r>
    <r>
      <rPr>
        <b/>
        <sz val="14"/>
        <color theme="1"/>
        <rFont val="Century Gothic"/>
        <family val="2"/>
        <scheme val="minor"/>
      </rPr>
      <t>₹3,774 Cr</t>
    </r>
    <r>
      <rPr>
        <sz val="14"/>
        <color theme="1"/>
        <rFont val="Century Gothic"/>
        <family val="2"/>
        <scheme val="minor"/>
      </rPr>
      <t xml:space="preserve"> in FY22 to </t>
    </r>
    <r>
      <rPr>
        <b/>
        <sz val="14"/>
        <color theme="1"/>
        <rFont val="Century Gothic"/>
        <family val="2"/>
        <scheme val="minor"/>
      </rPr>
      <t>₹10,022 Cr</t>
    </r>
    <r>
      <rPr>
        <sz val="14"/>
        <color theme="1"/>
        <rFont val="Century Gothic"/>
        <family val="2"/>
        <scheme val="minor"/>
      </rPr>
      <t xml:space="preserve"> in FY26 (≈2.7x growth, </t>
    </r>
    <r>
      <rPr>
        <b/>
        <sz val="14"/>
        <color theme="1"/>
        <rFont val="Century Gothic"/>
        <family val="2"/>
        <scheme val="minor"/>
      </rPr>
      <t>21.6% CAGR</t>
    </r>
    <r>
      <rPr>
        <sz val="14"/>
        <color theme="1"/>
        <rFont val="Century Gothic"/>
        <family val="2"/>
        <scheme val="minor"/>
      </rPr>
      <t>).</t>
    </r>
  </si>
  <si>
    <r>
      <t xml:space="preserve">Operating Margin improved from </t>
    </r>
    <r>
      <rPr>
        <b/>
        <sz val="14"/>
        <color theme="1"/>
        <rFont val="Century Gothic"/>
        <family val="2"/>
        <scheme val="minor"/>
      </rPr>
      <t>4.35%</t>
    </r>
    <r>
      <rPr>
        <sz val="14"/>
        <color theme="1"/>
        <rFont val="Century Gothic"/>
        <family val="2"/>
        <scheme val="minor"/>
      </rPr>
      <t xml:space="preserve"> to </t>
    </r>
    <r>
      <rPr>
        <b/>
        <sz val="14"/>
        <color theme="1"/>
        <rFont val="Century Gothic"/>
        <family val="2"/>
        <scheme val="minor"/>
      </rPr>
      <t>7.50%</t>
    </r>
    <r>
      <rPr>
        <sz val="14"/>
        <color theme="1"/>
        <rFont val="Century Gothic"/>
        <family val="2"/>
        <scheme val="minor"/>
      </rPr>
      <t xml:space="preserve">, while Net Profit increased from </t>
    </r>
    <r>
      <rPr>
        <b/>
        <sz val="14"/>
        <color theme="1"/>
        <rFont val="Century Gothic"/>
        <family val="2"/>
        <scheme val="minor"/>
      </rPr>
      <t>₹41 Cr</t>
    </r>
    <r>
      <rPr>
        <sz val="14"/>
        <color theme="1"/>
        <rFont val="Century Gothic"/>
        <family val="2"/>
        <scheme val="minor"/>
      </rPr>
      <t xml:space="preserve"> to </t>
    </r>
    <r>
      <rPr>
        <b/>
        <sz val="14"/>
        <color theme="1"/>
        <rFont val="Century Gothic"/>
        <family val="2"/>
        <scheme val="minor"/>
      </rPr>
      <t>₹204 Cr</t>
    </r>
    <r>
      <rPr>
        <sz val="14"/>
        <color theme="1"/>
        <rFont val="Century Gothic"/>
        <family val="2"/>
        <scheme val="minor"/>
      </rPr>
      <t>.</t>
    </r>
  </si>
  <si>
    <r>
      <t xml:space="preserve">Operating Cash Flow improved from </t>
    </r>
    <r>
      <rPr>
        <b/>
        <sz val="14"/>
        <color theme="1"/>
        <rFont val="Century Gothic"/>
        <family val="2"/>
        <scheme val="minor"/>
      </rPr>
      <t>–₹354 Cr</t>
    </r>
    <r>
      <rPr>
        <sz val="14"/>
        <color theme="1"/>
        <rFont val="Century Gothic"/>
        <family val="2"/>
        <scheme val="minor"/>
      </rPr>
      <t xml:space="preserve"> (FY22) to </t>
    </r>
    <r>
      <rPr>
        <b/>
        <sz val="14"/>
        <color theme="1"/>
        <rFont val="Century Gothic"/>
        <family val="2"/>
        <scheme val="minor"/>
      </rPr>
      <t>₹644 Cr</t>
    </r>
    <r>
      <rPr>
        <sz val="14"/>
        <color theme="1"/>
        <rFont val="Century Gothic"/>
        <family val="2"/>
        <scheme val="minor"/>
      </rPr>
      <t xml:space="preserve"> (FY26). Free Cash Flow turned positive from FY25.</t>
    </r>
  </si>
  <si>
    <r>
      <t xml:space="preserve">Total Assets grew from </t>
    </r>
    <r>
      <rPr>
        <b/>
        <sz val="14"/>
        <color theme="1"/>
        <rFont val="Century Gothic"/>
        <family val="2"/>
        <scheme val="minor"/>
      </rPr>
      <t>₹2,646 Cr</t>
    </r>
    <r>
      <rPr>
        <sz val="14"/>
        <color theme="1"/>
        <rFont val="Century Gothic"/>
        <family val="2"/>
        <scheme val="minor"/>
      </rPr>
      <t xml:space="preserve"> to </t>
    </r>
    <r>
      <rPr>
        <b/>
        <sz val="14"/>
        <color theme="1"/>
        <rFont val="Century Gothic"/>
        <family val="2"/>
        <scheme val="minor"/>
      </rPr>
      <t>₹4,611 Cr</t>
    </r>
    <r>
      <rPr>
        <sz val="14"/>
        <color theme="1"/>
        <rFont val="Century Gothic"/>
        <family val="2"/>
        <scheme val="minor"/>
      </rPr>
      <t>, while borrowings also increased to support expansion.</t>
    </r>
  </si>
  <si>
    <t>What Went Well</t>
  </si>
  <si>
    <t>Areas to Watch</t>
  </si>
  <si>
    <t>Conclusion</t>
  </si>
  <si>
    <r>
      <t xml:space="preserve">• </t>
    </r>
    <r>
      <rPr>
        <b/>
        <sz val="14"/>
        <color theme="1"/>
        <rFont val="Century Gothic"/>
        <family val="2"/>
        <scheme val="minor"/>
      </rPr>
      <t xml:space="preserve">Revenue growth remained strong </t>
    </r>
    <r>
      <rPr>
        <sz val="14"/>
        <color theme="1"/>
        <rFont val="Century Gothic"/>
        <family val="2"/>
        <scheme val="minor"/>
      </rPr>
      <t xml:space="preserve">throughout the analysis period, even after the excitement around the IPO settled down.
• The company gradually </t>
    </r>
    <r>
      <rPr>
        <b/>
        <sz val="14"/>
        <color theme="1"/>
        <rFont val="Century Gothic"/>
        <family val="2"/>
        <scheme val="minor"/>
      </rPr>
      <t>improved its operating margin</t>
    </r>
    <r>
      <rPr>
        <sz val="14"/>
        <color theme="1"/>
        <rFont val="Century Gothic"/>
        <family val="2"/>
        <scheme val="minor"/>
      </rPr>
      <t xml:space="preserve">, showing better control over its operations.
• </t>
    </r>
    <r>
      <rPr>
        <b/>
        <sz val="14"/>
        <color theme="1"/>
        <rFont val="Century Gothic"/>
        <family val="2"/>
        <scheme val="minor"/>
      </rPr>
      <t>Cash flow improved significantly</t>
    </r>
    <r>
      <rPr>
        <sz val="14"/>
        <color theme="1"/>
        <rFont val="Century Gothic"/>
        <family val="2"/>
        <scheme val="minor"/>
      </rPr>
      <t xml:space="preserve">, which suggests that the business is becoming financially stronger over time.
• Overall, Nykaa continued to </t>
    </r>
    <r>
      <rPr>
        <b/>
        <sz val="14"/>
        <color theme="1"/>
        <rFont val="Century Gothic"/>
        <family val="2"/>
        <scheme val="minor"/>
      </rPr>
      <t>expand while maintaining steady financial progress.</t>
    </r>
  </si>
  <si>
    <r>
      <t xml:space="preserve">• Although profits improved, </t>
    </r>
    <r>
      <rPr>
        <b/>
        <sz val="14"/>
        <color theme="1"/>
        <rFont val="Century Gothic"/>
        <family val="2"/>
        <scheme val="minor"/>
      </rPr>
      <t>net profit margins are still relatively low</t>
    </r>
    <r>
      <rPr>
        <sz val="14"/>
        <color theme="1"/>
        <rFont val="Century Gothic"/>
        <family val="2"/>
        <scheme val="minor"/>
      </rPr>
      <t xml:space="preserve"> compared to the company's strong revenue growth.
• </t>
    </r>
    <r>
      <rPr>
        <b/>
        <sz val="14"/>
        <color theme="1"/>
        <rFont val="Century Gothic"/>
        <family val="2"/>
        <scheme val="minor"/>
      </rPr>
      <t>Borrowings increased over the years</t>
    </r>
    <r>
      <rPr>
        <sz val="14"/>
        <color theme="1"/>
        <rFont val="Century Gothic"/>
        <family val="2"/>
        <scheme val="minor"/>
      </rPr>
      <t>, so managing debt efficiently will remain important.
• As Nykaa grows further, maintaining</t>
    </r>
    <r>
      <rPr>
        <b/>
        <sz val="14"/>
        <color theme="1"/>
        <rFont val="Century Gothic"/>
        <family val="2"/>
        <scheme val="minor"/>
      </rPr>
      <t xml:space="preserve"> high growth rates</t>
    </r>
    <r>
      <rPr>
        <sz val="14"/>
        <color theme="1"/>
        <rFont val="Century Gothic"/>
        <family val="2"/>
        <scheme val="minor"/>
      </rPr>
      <t xml:space="preserve"> in a competitive beauty and lifestyle market may become more challenging.</t>
    </r>
  </si>
  <si>
    <r>
      <t xml:space="preserve">After analyzing Nykaa's financial statements from FY22 to FY26, I believe the company has performed well since its IPO. Revenue has </t>
    </r>
    <r>
      <rPr>
        <b/>
        <sz val="14.5"/>
        <color theme="1"/>
        <rFont val="Century Gothic"/>
        <family val="2"/>
        <scheme val="minor"/>
      </rPr>
      <t>almost tripled</t>
    </r>
    <r>
      <rPr>
        <sz val="14.5"/>
        <color theme="1"/>
        <rFont val="Century Gothic"/>
        <family val="2"/>
        <scheme val="minor"/>
      </rPr>
      <t xml:space="preserve">, profitability has </t>
    </r>
    <r>
      <rPr>
        <b/>
        <sz val="14.5"/>
        <color theme="1"/>
        <rFont val="Century Gothic"/>
        <family val="2"/>
        <scheme val="minor"/>
      </rPr>
      <t>improved</t>
    </r>
    <r>
      <rPr>
        <sz val="14.5"/>
        <color theme="1"/>
        <rFont val="Century Gothic"/>
        <family val="2"/>
        <scheme val="minor"/>
      </rPr>
      <t xml:space="preserve">, and cash flows have become </t>
    </r>
    <r>
      <rPr>
        <b/>
        <sz val="14.5"/>
        <color theme="1"/>
        <rFont val="Century Gothic"/>
        <family val="2"/>
        <scheme val="minor"/>
      </rPr>
      <t>much stronger</t>
    </r>
    <r>
      <rPr>
        <sz val="14.5"/>
        <color theme="1"/>
        <rFont val="Century Gothic"/>
        <family val="2"/>
        <scheme val="minor"/>
      </rPr>
      <t xml:space="preserve"> over time. These are all positive signs that the business is moving in the right direction.
At the same time, I don't think</t>
    </r>
    <r>
      <rPr>
        <b/>
        <sz val="14.5"/>
        <color theme="1"/>
        <rFont val="Century Gothic"/>
        <family val="2"/>
        <scheme val="minor"/>
      </rPr>
      <t xml:space="preserve"> revenue growth alone</t>
    </r>
    <r>
      <rPr>
        <sz val="14.5"/>
        <color theme="1"/>
        <rFont val="Century Gothic"/>
        <family val="2"/>
        <scheme val="minor"/>
      </rPr>
      <t xml:space="preserve"> is enough to fully justify the premium valuation investors paid during the IPO. The company is still working towards improving its profit margins, and investors would expect those margins to continue improving as the business matures.
</t>
    </r>
    <r>
      <rPr>
        <b/>
        <sz val="14.5"/>
        <color theme="1"/>
        <rFont val="Century Gothic"/>
        <family val="2"/>
        <scheme val="minor"/>
      </rPr>
      <t>Overall, I would say Nykaa has partially justified its IPO valuation.</t>
    </r>
    <r>
      <rPr>
        <sz val="14.5"/>
        <color theme="1"/>
        <rFont val="Century Gothic"/>
        <family val="2"/>
        <scheme val="minor"/>
      </rPr>
      <t xml:space="preserve"> The company has built a stronger financial position after listing, but there is still scope to improve profitability and create greater value for shareholders over the long term.</t>
    </r>
  </si>
  <si>
    <t>Financial position strengthened, although borrowings increased.</t>
  </si>
  <si>
    <t>Strong recovery</t>
  </si>
  <si>
    <t>Steady improvement</t>
  </si>
  <si>
    <t>Value</t>
  </si>
  <si>
    <t>IPO Issue Price (2021)</t>
  </si>
  <si>
    <t>Current Share Price (2026)</t>
  </si>
  <si>
    <t>Price Change</t>
  </si>
  <si>
    <t>Market Performance vs Business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</si>
</sst>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43" formatCode="_ * #,##0.00_ ;_ * \-#,##0.00_ ;_ * &quot;-&quot;??_ ;_ @_ "/>
    <numFmt numFmtId="164" formatCode="&quot;₹&quot;\ #,##0"/>
    <numFmt numFmtId="170" formatCode="&quot;₹&quot;\ #,##0.00"/>
  </numFmts>
  <fonts count="24" x14ac:knownFonts="1">
    <font>
      <sz val="14"/>
      <color theme="1"/>
      <name val="Century Gothic"/>
      <family val="2"/>
      <scheme val="minor"/>
    </font>
    <font>
      <sz val="14"/>
      <color theme="1"/>
      <name val="Century Gothic"/>
      <family val="2"/>
      <scheme val="minor"/>
    </font>
    <font>
      <b/>
      <sz val="14"/>
      <color theme="1"/>
      <name val="Century Gothic"/>
      <family val="2"/>
      <scheme val="minor"/>
    </font>
    <font>
      <sz val="12"/>
      <color theme="1"/>
      <name val="Century Gothic"/>
      <family val="2"/>
      <scheme val="minor"/>
    </font>
    <font>
      <sz val="11"/>
      <color theme="1"/>
      <name val="Century Gothic"/>
      <family val="2"/>
      <scheme val="minor"/>
    </font>
    <font>
      <b/>
      <sz val="16"/>
      <color theme="1"/>
      <name val="Century Gothic"/>
      <family val="2"/>
      <scheme val="minor"/>
    </font>
    <font>
      <sz val="16"/>
      <color theme="1"/>
      <name val="Century Gothic"/>
      <family val="2"/>
      <scheme val="minor"/>
    </font>
    <font>
      <sz val="18"/>
      <color theme="1"/>
      <name val="Century Gothic"/>
      <family val="2"/>
      <scheme val="minor"/>
    </font>
    <font>
      <sz val="22"/>
      <color theme="1"/>
      <name val="Century Gothic"/>
      <family val="2"/>
      <scheme val="minor"/>
    </font>
    <font>
      <b/>
      <sz val="26"/>
      <color theme="4"/>
      <name val="Century Gothic"/>
      <family val="2"/>
      <scheme val="minor"/>
    </font>
    <font>
      <b/>
      <sz val="15"/>
      <color theme="1"/>
      <name val="Century Gothic"/>
      <family val="2"/>
      <scheme val="minor"/>
    </font>
    <font>
      <b/>
      <sz val="18"/>
      <color theme="1"/>
      <name val="Century Gothic"/>
      <family val="2"/>
      <scheme val="minor"/>
    </font>
    <font>
      <b/>
      <sz val="22"/>
      <color theme="1"/>
      <name val="Century Gothic"/>
      <family val="2"/>
      <scheme val="minor"/>
    </font>
    <font>
      <sz val="13"/>
      <color theme="1"/>
      <name val="Century Gothic"/>
      <family val="2"/>
      <scheme val="minor"/>
    </font>
    <font>
      <b/>
      <sz val="13"/>
      <color theme="1"/>
      <name val="Century Gothic"/>
      <family val="2"/>
      <scheme val="minor"/>
    </font>
    <font>
      <sz val="15"/>
      <color theme="1"/>
      <name val="Century Gothic"/>
      <family val="2"/>
      <scheme val="minor"/>
    </font>
    <font>
      <b/>
      <sz val="15"/>
      <color theme="4" tint="-0.249977111117893"/>
      <name val="Century Gothic"/>
      <family val="2"/>
      <scheme val="minor"/>
    </font>
    <font>
      <b/>
      <sz val="17"/>
      <color theme="1"/>
      <name val="Century Gothic"/>
      <family val="2"/>
      <scheme val="minor"/>
    </font>
    <font>
      <b/>
      <sz val="18"/>
      <color theme="4" tint="-0.249977111117893"/>
      <name val="Century Gothic"/>
      <family val="2"/>
      <scheme val="minor"/>
    </font>
    <font>
      <b/>
      <sz val="16"/>
      <color theme="4" tint="-0.249977111117893"/>
      <name val="Century Gothic"/>
      <family val="2"/>
      <scheme val="minor"/>
    </font>
    <font>
      <b/>
      <sz val="20"/>
      <color theme="1"/>
      <name val="Century Gothic"/>
      <family val="2"/>
      <scheme val="minor"/>
    </font>
    <font>
      <sz val="14.5"/>
      <color theme="1"/>
      <name val="Century Gothic"/>
      <family val="2"/>
      <scheme val="minor"/>
    </font>
    <font>
      <b/>
      <sz val="14.5"/>
      <color theme="1"/>
      <name val="Century Gothic"/>
      <family val="2"/>
      <scheme val="minor"/>
    </font>
    <font>
      <i/>
      <sz val="12"/>
      <color theme="1"/>
      <name val="Century Gothic"/>
      <family val="2"/>
      <scheme val="minor"/>
    </font>
  </fonts>
  <fills count="7">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9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2" borderId="0" xfId="0" applyFill="1"/>
    <xf numFmtId="0" fontId="4" fillId="2" borderId="0" xfId="0" applyFont="1" applyFill="1"/>
    <xf numFmtId="0" fontId="4" fillId="2" borderId="0" xfId="0" applyFont="1" applyFill="1" applyAlignment="1">
      <alignment vertical="center" wrapText="1"/>
    </xf>
    <xf numFmtId="0" fontId="4" fillId="2" borderId="0" xfId="0" applyFont="1" applyFill="1" applyAlignment="1">
      <alignment horizontal="left" vertical="center"/>
    </xf>
    <xf numFmtId="0" fontId="3" fillId="5" borderId="17" xfId="0" applyFont="1" applyFill="1" applyBorder="1" applyAlignment="1">
      <alignment horizontal="left" vertical="center" wrapText="1"/>
    </xf>
    <xf numFmtId="0" fontId="3" fillId="5" borderId="20" xfId="0" applyFont="1" applyFill="1" applyBorder="1" applyAlignment="1">
      <alignment horizontal="left" vertical="center" wrapText="1"/>
    </xf>
    <xf numFmtId="0" fontId="3" fillId="5" borderId="22" xfId="0" applyFont="1" applyFill="1" applyBorder="1" applyAlignment="1">
      <alignment horizontal="left" vertical="center" wrapText="1"/>
    </xf>
    <xf numFmtId="0" fontId="3" fillId="5" borderId="25" xfId="0" applyFont="1" applyFill="1" applyBorder="1" applyAlignment="1">
      <alignment vertical="center" wrapText="1"/>
    </xf>
    <xf numFmtId="0" fontId="2" fillId="4" borderId="3" xfId="0" applyFont="1" applyFill="1" applyBorder="1" applyAlignment="1">
      <alignment horizontal="left" vertical="center" wrapText="1"/>
    </xf>
    <xf numFmtId="0" fontId="2" fillId="4" borderId="3" xfId="0" applyFont="1" applyFill="1" applyBorder="1" applyAlignment="1">
      <alignment horizontal="center" vertical="center"/>
    </xf>
    <xf numFmtId="0" fontId="2" fillId="4" borderId="5" xfId="0" applyFont="1" applyFill="1" applyBorder="1" applyAlignment="1">
      <alignment horizontal="center" vertical="center"/>
    </xf>
    <xf numFmtId="0" fontId="3" fillId="5" borderId="17" xfId="0" applyFont="1" applyFill="1" applyBorder="1" applyAlignment="1">
      <alignment horizontal="left" vertical="center"/>
    </xf>
    <xf numFmtId="0" fontId="3" fillId="5" borderId="18" xfId="0" applyFont="1" applyFill="1" applyBorder="1" applyAlignment="1">
      <alignment horizontal="left" vertical="center"/>
    </xf>
    <xf numFmtId="0" fontId="3" fillId="5" borderId="19" xfId="0" applyFont="1" applyFill="1" applyBorder="1" applyAlignment="1">
      <alignment horizontal="left" vertical="center"/>
    </xf>
    <xf numFmtId="0" fontId="3" fillId="5" borderId="22" xfId="0" applyFont="1" applyFill="1" applyBorder="1" applyAlignment="1">
      <alignment horizontal="left" vertical="center"/>
    </xf>
    <xf numFmtId="0" fontId="3" fillId="5" borderId="23" xfId="0" applyFont="1" applyFill="1" applyBorder="1" applyAlignment="1">
      <alignment horizontal="left" vertical="center"/>
    </xf>
    <xf numFmtId="0" fontId="3" fillId="5" borderId="24" xfId="0" applyFont="1" applyFill="1" applyBorder="1" applyAlignment="1">
      <alignment horizontal="left" vertical="center"/>
    </xf>
    <xf numFmtId="0" fontId="4" fillId="5" borderId="6" xfId="0" applyFont="1" applyFill="1" applyBorder="1"/>
    <xf numFmtId="0" fontId="4" fillId="5" borderId="7" xfId="0" applyFont="1" applyFill="1" applyBorder="1"/>
    <xf numFmtId="0" fontId="4" fillId="5" borderId="8" xfId="0" applyFont="1" applyFill="1" applyBorder="1"/>
    <xf numFmtId="0" fontId="10" fillId="2" borderId="0" xfId="0" applyFont="1" applyFill="1" applyAlignment="1">
      <alignment horizontal="center" vertical="center"/>
    </xf>
    <xf numFmtId="0" fontId="0" fillId="0" borderId="0" xfId="0" applyAlignment="1">
      <alignment horizontal="right" vertical="center" wrapText="1"/>
    </xf>
    <xf numFmtId="0" fontId="2" fillId="0" borderId="0" xfId="0" applyFont="1" applyAlignment="1">
      <alignment horizontal="right"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36"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38" xfId="0" applyFont="1" applyFill="1" applyBorder="1" applyAlignment="1">
      <alignment horizontal="center" vertical="center" wrapText="1"/>
    </xf>
    <xf numFmtId="0" fontId="5" fillId="4" borderId="42"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40" xfId="0" applyFont="1" applyFill="1" applyBorder="1" applyAlignment="1">
      <alignment horizontal="center" vertical="center" wrapText="1"/>
    </xf>
    <xf numFmtId="0" fontId="6" fillId="2" borderId="0" xfId="0" applyFont="1" applyFill="1" applyAlignment="1">
      <alignment horizontal="center"/>
    </xf>
    <xf numFmtId="0" fontId="7" fillId="2" borderId="0" xfId="0" applyFont="1" applyFill="1"/>
    <xf numFmtId="0" fontId="8" fillId="2" borderId="0" xfId="0" applyFont="1" applyFill="1"/>
    <xf numFmtId="0" fontId="13" fillId="5" borderId="17" xfId="0" applyFont="1" applyFill="1" applyBorder="1" applyAlignment="1">
      <alignment vertical="center" wrapText="1"/>
    </xf>
    <xf numFmtId="0" fontId="13" fillId="5" borderId="20" xfId="0" applyFont="1" applyFill="1" applyBorder="1" applyAlignment="1">
      <alignment vertical="center" wrapText="1"/>
    </xf>
    <xf numFmtId="0" fontId="14" fillId="5" borderId="20" xfId="0" applyFont="1" applyFill="1" applyBorder="1" applyAlignment="1">
      <alignment vertical="center" wrapText="1"/>
    </xf>
    <xf numFmtId="0" fontId="13" fillId="5" borderId="22" xfId="0" applyFont="1" applyFill="1" applyBorder="1" applyAlignment="1">
      <alignment vertical="center" wrapText="1"/>
    </xf>
    <xf numFmtId="0" fontId="13" fillId="5" borderId="17" xfId="0" applyFont="1" applyFill="1" applyBorder="1" applyAlignment="1">
      <alignment horizontal="left" vertical="center" wrapText="1"/>
    </xf>
    <xf numFmtId="0" fontId="13" fillId="5" borderId="20" xfId="0" applyFont="1" applyFill="1" applyBorder="1" applyAlignment="1">
      <alignment horizontal="left" vertical="center" wrapText="1"/>
    </xf>
    <xf numFmtId="0" fontId="13" fillId="5" borderId="22" xfId="0" applyFont="1" applyFill="1" applyBorder="1" applyAlignment="1">
      <alignment horizontal="left" vertical="center" wrapText="1"/>
    </xf>
    <xf numFmtId="0" fontId="13" fillId="5" borderId="26" xfId="0" applyFont="1" applyFill="1" applyBorder="1" applyAlignment="1">
      <alignment vertical="center" wrapText="1"/>
    </xf>
    <xf numFmtId="2" fontId="13" fillId="5" borderId="1" xfId="0" applyNumberFormat="1" applyFont="1" applyFill="1" applyBorder="1" applyAlignment="1">
      <alignment horizontal="right" vertical="center" wrapText="1"/>
    </xf>
    <xf numFmtId="2" fontId="13" fillId="5" borderId="21" xfId="0" applyNumberFormat="1" applyFont="1" applyFill="1" applyBorder="1" applyAlignment="1">
      <alignment horizontal="right" vertical="center" wrapText="1"/>
    </xf>
    <xf numFmtId="43" fontId="13" fillId="5" borderId="2" xfId="1" applyFont="1" applyFill="1" applyBorder="1" applyAlignment="1">
      <alignment horizontal="right" vertical="center" wrapText="1"/>
    </xf>
    <xf numFmtId="43" fontId="13" fillId="5" borderId="33" xfId="1" applyFont="1" applyFill="1" applyBorder="1" applyAlignment="1">
      <alignment horizontal="right" vertical="center" wrapText="1"/>
    </xf>
    <xf numFmtId="43" fontId="13" fillId="5" borderId="1" xfId="1" applyFont="1" applyFill="1" applyBorder="1" applyAlignment="1">
      <alignment horizontal="right" vertical="center" wrapText="1"/>
    </xf>
    <xf numFmtId="43" fontId="13" fillId="5" borderId="21" xfId="1" applyFont="1" applyFill="1" applyBorder="1" applyAlignment="1">
      <alignment horizontal="right" vertical="center" wrapText="1"/>
    </xf>
    <xf numFmtId="43" fontId="14" fillId="5" borderId="1" xfId="1" applyFont="1" applyFill="1" applyBorder="1" applyAlignment="1">
      <alignment horizontal="right" vertical="center" wrapText="1"/>
    </xf>
    <xf numFmtId="43" fontId="14" fillId="5" borderId="21" xfId="1" applyFont="1" applyFill="1" applyBorder="1" applyAlignment="1">
      <alignment horizontal="right" vertical="center" wrapText="1"/>
    </xf>
    <xf numFmtId="43" fontId="13" fillId="5" borderId="23" xfId="1" applyFont="1" applyFill="1" applyBorder="1" applyAlignment="1">
      <alignment horizontal="right" vertical="center" wrapText="1"/>
    </xf>
    <xf numFmtId="43" fontId="13" fillId="5" borderId="24" xfId="1" applyFont="1" applyFill="1" applyBorder="1" applyAlignment="1">
      <alignment horizontal="right" vertical="center" wrapText="1"/>
    </xf>
    <xf numFmtId="43" fontId="13" fillId="5" borderId="18" xfId="1" applyFont="1" applyFill="1" applyBorder="1" applyAlignment="1">
      <alignment horizontal="right" vertical="center" wrapText="1"/>
    </xf>
    <xf numFmtId="43" fontId="13" fillId="5" borderId="19" xfId="1" applyFont="1" applyFill="1" applyBorder="1" applyAlignment="1">
      <alignment horizontal="right" vertical="center" wrapText="1"/>
    </xf>
    <xf numFmtId="43" fontId="14" fillId="5" borderId="24" xfId="1" applyFont="1" applyFill="1" applyBorder="1" applyAlignment="1">
      <alignment horizontal="right" vertical="center" wrapText="1"/>
    </xf>
    <xf numFmtId="2" fontId="13" fillId="5" borderId="18" xfId="1" applyNumberFormat="1" applyFont="1" applyFill="1" applyBorder="1" applyAlignment="1">
      <alignment horizontal="right" vertical="center" wrapText="1"/>
    </xf>
    <xf numFmtId="2" fontId="13" fillId="5" borderId="19" xfId="1" applyNumberFormat="1" applyFont="1" applyFill="1" applyBorder="1" applyAlignment="1">
      <alignment horizontal="right" vertical="center" wrapText="1"/>
    </xf>
    <xf numFmtId="2" fontId="13" fillId="5" borderId="1" xfId="1" applyNumberFormat="1" applyFont="1" applyFill="1" applyBorder="1" applyAlignment="1">
      <alignment horizontal="right" vertical="center" wrapText="1"/>
    </xf>
    <xf numFmtId="2" fontId="13" fillId="5" borderId="21" xfId="1" applyNumberFormat="1" applyFont="1" applyFill="1" applyBorder="1" applyAlignment="1">
      <alignment horizontal="right" vertical="center" wrapText="1"/>
    </xf>
    <xf numFmtId="2" fontId="13" fillId="5" borderId="23" xfId="1" applyNumberFormat="1" applyFont="1" applyFill="1" applyBorder="1" applyAlignment="1">
      <alignment horizontal="right" vertical="center" wrapText="1"/>
    </xf>
    <xf numFmtId="2" fontId="13" fillId="5" borderId="24" xfId="1" applyNumberFormat="1" applyFont="1" applyFill="1" applyBorder="1" applyAlignment="1">
      <alignment horizontal="right" vertical="center" wrapText="1"/>
    </xf>
    <xf numFmtId="0" fontId="5" fillId="4" borderId="4" xfId="0" applyFont="1" applyFill="1" applyBorder="1" applyAlignment="1">
      <alignment horizontal="right" vertical="center" wrapText="1"/>
    </xf>
    <xf numFmtId="0" fontId="5" fillId="4" borderId="5" xfId="0" applyFont="1" applyFill="1" applyBorder="1" applyAlignment="1">
      <alignment horizontal="right" vertical="center" wrapText="1"/>
    </xf>
    <xf numFmtId="10" fontId="13" fillId="5" borderId="2" xfId="2" applyNumberFormat="1" applyFont="1" applyFill="1" applyBorder="1" applyAlignment="1">
      <alignment horizontal="right" vertical="center" wrapText="1"/>
    </xf>
    <xf numFmtId="10" fontId="13" fillId="5" borderId="23" xfId="2" applyNumberFormat="1" applyFont="1" applyFill="1" applyBorder="1" applyAlignment="1">
      <alignment horizontal="right" vertical="center" wrapText="1"/>
    </xf>
    <xf numFmtId="10" fontId="13" fillId="5" borderId="1" xfId="2" applyNumberFormat="1" applyFont="1" applyFill="1" applyBorder="1" applyAlignment="1">
      <alignment horizontal="right" vertical="center" wrapText="1"/>
    </xf>
    <xf numFmtId="0" fontId="0" fillId="2" borderId="0" xfId="0" applyFill="1" applyAlignment="1">
      <alignment vertical="center"/>
    </xf>
    <xf numFmtId="0" fontId="6" fillId="2" borderId="0" xfId="0" applyFont="1" applyFill="1" applyAlignment="1">
      <alignment vertical="center"/>
    </xf>
    <xf numFmtId="0" fontId="13" fillId="2" borderId="0" xfId="0" applyFont="1" applyFill="1" applyAlignment="1">
      <alignment vertical="center"/>
    </xf>
    <xf numFmtId="10" fontId="13" fillId="5" borderId="23" xfId="2" applyNumberFormat="1" applyFont="1" applyFill="1" applyBorder="1" applyAlignment="1">
      <alignment vertical="center"/>
    </xf>
    <xf numFmtId="2" fontId="13" fillId="5" borderId="21" xfId="1" applyNumberFormat="1" applyFont="1" applyFill="1" applyBorder="1" applyAlignment="1">
      <alignment vertical="center" wrapText="1"/>
    </xf>
    <xf numFmtId="2" fontId="13" fillId="5" borderId="1" xfId="1" applyNumberFormat="1" applyFont="1" applyFill="1" applyBorder="1" applyAlignment="1">
      <alignment vertical="center" wrapText="1"/>
    </xf>
    <xf numFmtId="10" fontId="13" fillId="5" borderId="33" xfId="2" applyNumberFormat="1" applyFont="1" applyFill="1" applyBorder="1" applyAlignment="1">
      <alignment horizontal="right" vertical="center" wrapText="1"/>
    </xf>
    <xf numFmtId="10" fontId="13" fillId="5" borderId="24" xfId="2" applyNumberFormat="1" applyFont="1" applyFill="1" applyBorder="1" applyAlignment="1">
      <alignment horizontal="right" vertical="center" wrapText="1"/>
    </xf>
    <xf numFmtId="0" fontId="13" fillId="5" borderId="25" xfId="0" applyFont="1" applyFill="1" applyBorder="1" applyAlignment="1">
      <alignment vertical="center" wrapText="1"/>
    </xf>
    <xf numFmtId="43" fontId="13" fillId="5" borderId="37" xfId="1" applyFont="1" applyFill="1" applyBorder="1" applyAlignment="1">
      <alignment horizontal="right" vertical="center" wrapText="1"/>
    </xf>
    <xf numFmtId="43" fontId="13" fillId="5" borderId="44" xfId="1" applyFont="1" applyFill="1" applyBorder="1" applyAlignment="1">
      <alignment horizontal="right" vertical="center" wrapText="1"/>
    </xf>
    <xf numFmtId="0" fontId="14" fillId="5" borderId="45" xfId="0" applyFont="1" applyFill="1" applyBorder="1" applyAlignment="1">
      <alignment vertical="center" wrapText="1"/>
    </xf>
    <xf numFmtId="43" fontId="14" fillId="5" borderId="23" xfId="1" applyFont="1" applyFill="1" applyBorder="1" applyAlignment="1">
      <alignment horizontal="right" vertical="center" wrapText="1"/>
    </xf>
    <xf numFmtId="2" fontId="13" fillId="5" borderId="23" xfId="2" applyNumberFormat="1" applyFont="1" applyFill="1" applyBorder="1" applyAlignment="1">
      <alignment horizontal="right" vertical="center" wrapText="1"/>
    </xf>
    <xf numFmtId="2" fontId="13" fillId="5" borderId="2" xfId="0" applyNumberFormat="1" applyFont="1" applyFill="1" applyBorder="1" applyAlignment="1">
      <alignment vertical="center" wrapText="1"/>
    </xf>
    <xf numFmtId="2" fontId="13" fillId="5" borderId="33" xfId="0" applyNumberFormat="1" applyFont="1" applyFill="1" applyBorder="1" applyAlignment="1">
      <alignment vertical="center" wrapText="1"/>
    </xf>
    <xf numFmtId="2" fontId="13" fillId="5" borderId="24" xfId="2" applyNumberFormat="1" applyFont="1" applyFill="1" applyBorder="1" applyAlignment="1">
      <alignment horizontal="right" vertical="center" wrapText="1"/>
    </xf>
    <xf numFmtId="0" fontId="11" fillId="3" borderId="30" xfId="0" applyFont="1" applyFill="1" applyBorder="1" applyAlignment="1">
      <alignment vertical="center" wrapText="1"/>
    </xf>
    <xf numFmtId="0" fontId="11" fillId="2" borderId="0" xfId="0" applyFont="1" applyFill="1" applyAlignment="1">
      <alignment vertical="center" wrapText="1"/>
    </xf>
    <xf numFmtId="43" fontId="18" fillId="2" borderId="0" xfId="0" applyNumberFormat="1" applyFont="1" applyFill="1" applyAlignment="1">
      <alignment horizontal="center" vertical="center"/>
    </xf>
    <xf numFmtId="10" fontId="0" fillId="0" borderId="0" xfId="0" applyNumberFormat="1" applyAlignment="1">
      <alignment vertical="center" wrapText="1"/>
    </xf>
    <xf numFmtId="10" fontId="0" fillId="0" borderId="0" xfId="0" applyNumberFormat="1" applyAlignment="1">
      <alignment horizontal="right" vertical="center" wrapText="1"/>
    </xf>
    <xf numFmtId="164" fontId="18" fillId="5" borderId="32" xfId="0" applyNumberFormat="1"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16"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8"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0" fillId="5" borderId="9" xfId="0" applyFill="1" applyBorder="1" applyAlignment="1">
      <alignment horizontal="left" vertical="center" wrapText="1"/>
    </xf>
    <xf numFmtId="0" fontId="0" fillId="5" borderId="10" xfId="0" applyFill="1" applyBorder="1" applyAlignment="1">
      <alignment horizontal="left" vertical="center"/>
    </xf>
    <xf numFmtId="0" fontId="0" fillId="5" borderId="11" xfId="0" applyFill="1" applyBorder="1" applyAlignment="1">
      <alignment horizontal="left" vertical="center"/>
    </xf>
    <xf numFmtId="0" fontId="0" fillId="5" borderId="12" xfId="0" applyFill="1" applyBorder="1" applyAlignment="1">
      <alignment horizontal="left" vertical="center"/>
    </xf>
    <xf numFmtId="0" fontId="0" fillId="5" borderId="0" xfId="0" applyFill="1" applyAlignment="1">
      <alignment horizontal="left" vertical="center"/>
    </xf>
    <xf numFmtId="0" fontId="0" fillId="5" borderId="13" xfId="0" applyFill="1" applyBorder="1" applyAlignment="1">
      <alignment horizontal="left" vertical="center"/>
    </xf>
    <xf numFmtId="0" fontId="0" fillId="5" borderId="14" xfId="0" applyFill="1" applyBorder="1" applyAlignment="1">
      <alignment horizontal="left" vertical="center"/>
    </xf>
    <xf numFmtId="0" fontId="0" fillId="5" borderId="15" xfId="0" applyFill="1" applyBorder="1" applyAlignment="1">
      <alignment horizontal="left" vertical="center"/>
    </xf>
    <xf numFmtId="0" fontId="0" fillId="5" borderId="16" xfId="0" applyFill="1" applyBorder="1" applyAlignment="1">
      <alignment horizontal="left" vertical="center"/>
    </xf>
    <xf numFmtId="0" fontId="11" fillId="3" borderId="9"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16" xfId="0" applyFont="1" applyFill="1" applyBorder="1" applyAlignment="1">
      <alignment horizontal="center" vertical="center"/>
    </xf>
    <xf numFmtId="0" fontId="21" fillId="5" borderId="9"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13"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5" fillId="5" borderId="15" xfId="0" applyFont="1" applyFill="1" applyBorder="1" applyAlignment="1">
      <alignment horizontal="center" vertical="center" wrapText="1"/>
    </xf>
    <xf numFmtId="0" fontId="15" fillId="5" borderId="16" xfId="0" applyFont="1" applyFill="1" applyBorder="1" applyAlignment="1">
      <alignment horizontal="center" vertical="center" wrapText="1"/>
    </xf>
    <xf numFmtId="0" fontId="0" fillId="5" borderId="20" xfId="0" applyFill="1" applyBorder="1" applyAlignment="1">
      <alignment horizontal="center" vertical="center" wrapText="1"/>
    </xf>
    <xf numFmtId="0" fontId="0" fillId="5" borderId="1"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23" xfId="0" applyFill="1" applyBorder="1" applyAlignment="1">
      <alignment horizontal="center" vertical="center" wrapText="1"/>
    </xf>
    <xf numFmtId="0" fontId="0" fillId="5" borderId="24" xfId="0" applyFill="1" applyBorder="1" applyAlignment="1">
      <alignment horizontal="center" vertical="center" wrapText="1"/>
    </xf>
    <xf numFmtId="0" fontId="0" fillId="5" borderId="22" xfId="0"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11" fillId="3" borderId="10" xfId="0" applyFont="1" applyFill="1" applyBorder="1" applyAlignment="1">
      <alignment horizontal="center" vertical="center"/>
    </xf>
    <xf numFmtId="0" fontId="0" fillId="5" borderId="2" xfId="0" applyFill="1" applyBorder="1" applyAlignment="1">
      <alignment horizontal="center" vertical="center" wrapText="1"/>
    </xf>
    <xf numFmtId="0" fontId="0" fillId="5" borderId="33" xfId="0" applyFill="1" applyBorder="1" applyAlignment="1">
      <alignment horizontal="center" vertical="center" wrapText="1"/>
    </xf>
    <xf numFmtId="0" fontId="0" fillId="5" borderId="26" xfId="0"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3" borderId="6" xfId="0" applyFont="1" applyFill="1" applyBorder="1" applyAlignment="1">
      <alignment horizontal="center"/>
    </xf>
    <xf numFmtId="0" fontId="5" fillId="3" borderId="8" xfId="0" applyFont="1" applyFill="1" applyBorder="1" applyAlignment="1">
      <alignment horizontal="center"/>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3" fillId="5" borderId="7" xfId="0" applyFont="1" applyFill="1" applyBorder="1" applyAlignment="1">
      <alignment horizont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35"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34" xfId="0" applyFont="1" applyFill="1" applyBorder="1" applyAlignment="1">
      <alignment horizontal="center" vertical="center"/>
    </xf>
    <xf numFmtId="0" fontId="3" fillId="5" borderId="23" xfId="0" applyFont="1" applyFill="1" applyBorder="1" applyAlignment="1">
      <alignment horizontal="left" vertical="center"/>
    </xf>
    <xf numFmtId="0" fontId="3" fillId="5" borderId="18" xfId="0" applyFont="1" applyFill="1" applyBorder="1" applyAlignment="1">
      <alignment horizontal="left" vertical="center"/>
    </xf>
    <xf numFmtId="0" fontId="5" fillId="3" borderId="9" xfId="0" applyFont="1" applyFill="1" applyBorder="1" applyAlignment="1">
      <alignment horizontal="center"/>
    </xf>
    <xf numFmtId="0" fontId="5" fillId="3" borderId="11" xfId="0" applyFont="1" applyFill="1" applyBorder="1" applyAlignment="1">
      <alignment horizontal="center"/>
    </xf>
    <xf numFmtId="0" fontId="4" fillId="5" borderId="30" xfId="0" applyFont="1" applyFill="1" applyBorder="1" applyAlignment="1">
      <alignment horizontal="left" vertical="center" wrapText="1"/>
    </xf>
    <xf numFmtId="0" fontId="4" fillId="5" borderId="31" xfId="0" applyFont="1" applyFill="1" applyBorder="1" applyAlignment="1">
      <alignment horizontal="left" vertical="center"/>
    </xf>
    <xf numFmtId="0" fontId="4" fillId="5" borderId="32" xfId="0" applyFont="1" applyFill="1" applyBorder="1" applyAlignment="1">
      <alignment horizontal="left" vertical="center"/>
    </xf>
    <xf numFmtId="0" fontId="2" fillId="3" borderId="6"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5" fillId="3" borderId="10" xfId="0" applyFont="1" applyFill="1" applyBorder="1" applyAlignment="1">
      <alignment horizontal="center"/>
    </xf>
    <xf numFmtId="0" fontId="3" fillId="5" borderId="20" xfId="0" applyFont="1" applyFill="1" applyBorder="1" applyAlignment="1">
      <alignment horizontal="center" vertical="center" wrapText="1"/>
    </xf>
    <xf numFmtId="0" fontId="3" fillId="5" borderId="26"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3" borderId="7" xfId="0" applyFont="1" applyFill="1" applyBorder="1" applyAlignment="1">
      <alignment horizontal="center"/>
    </xf>
    <xf numFmtId="0" fontId="3" fillId="5" borderId="9"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3" fillId="5" borderId="9" xfId="0" applyFont="1" applyFill="1" applyBorder="1" applyAlignment="1">
      <alignment horizontal="left" vertical="center" wrapText="1"/>
    </xf>
    <xf numFmtId="0" fontId="3" fillId="5" borderId="10" xfId="0" applyFont="1" applyFill="1" applyBorder="1" applyAlignment="1">
      <alignment horizontal="left" vertical="center" wrapText="1"/>
    </xf>
    <xf numFmtId="0" fontId="3" fillId="5" borderId="11" xfId="0" applyFont="1" applyFill="1" applyBorder="1" applyAlignment="1">
      <alignment horizontal="left" vertical="center" wrapText="1"/>
    </xf>
    <xf numFmtId="0" fontId="3" fillId="5" borderId="12" xfId="0" applyFont="1" applyFill="1" applyBorder="1" applyAlignment="1">
      <alignment horizontal="left" vertical="center" wrapText="1"/>
    </xf>
    <xf numFmtId="0" fontId="3" fillId="5" borderId="0" xfId="0" applyFont="1" applyFill="1" applyAlignment="1">
      <alignment horizontal="left" vertical="center" wrapText="1"/>
    </xf>
    <xf numFmtId="0" fontId="3" fillId="5" borderId="13"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3" fillId="5" borderId="15" xfId="0" applyFont="1" applyFill="1" applyBorder="1" applyAlignment="1">
      <alignment horizontal="left" vertical="center" wrapText="1"/>
    </xf>
    <xf numFmtId="0" fontId="3" fillId="5" borderId="16" xfId="0" applyFont="1" applyFill="1" applyBorder="1" applyAlignment="1">
      <alignment horizontal="left" vertical="center" wrapText="1"/>
    </xf>
    <xf numFmtId="0" fontId="3" fillId="5" borderId="22" xfId="0" applyFont="1" applyFill="1" applyBorder="1" applyAlignment="1">
      <alignment horizontal="center" vertical="center" wrapText="1"/>
    </xf>
    <xf numFmtId="0" fontId="2" fillId="4" borderId="4" xfId="0" applyFont="1" applyFill="1" applyBorder="1" applyAlignment="1">
      <alignment horizontal="left" vertical="center" wrapText="1"/>
    </xf>
    <xf numFmtId="0" fontId="2" fillId="4" borderId="5" xfId="0" applyFont="1" applyFill="1" applyBorder="1" applyAlignment="1">
      <alignment horizontal="left" vertical="center" wrapText="1"/>
    </xf>
    <xf numFmtId="0" fontId="3" fillId="5" borderId="23" xfId="0" applyFont="1" applyFill="1" applyBorder="1" applyAlignment="1">
      <alignment horizontal="left" vertical="center" wrapText="1"/>
    </xf>
    <xf numFmtId="0" fontId="3" fillId="5" borderId="24"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5" borderId="21" xfId="0" applyFont="1" applyFill="1" applyBorder="1" applyAlignment="1">
      <alignment horizontal="left" vertical="center" wrapText="1"/>
    </xf>
    <xf numFmtId="0" fontId="3" fillId="5" borderId="27" xfId="0" applyFont="1" applyFill="1" applyBorder="1" applyAlignment="1">
      <alignment horizontal="center" vertical="center" wrapText="1"/>
    </xf>
    <xf numFmtId="0" fontId="3" fillId="5" borderId="28" xfId="0" applyFont="1" applyFill="1" applyBorder="1" applyAlignment="1">
      <alignment horizontal="center" vertical="center" wrapText="1"/>
    </xf>
    <xf numFmtId="0" fontId="3" fillId="5" borderId="18" xfId="0" applyFont="1" applyFill="1" applyBorder="1" applyAlignment="1">
      <alignment horizontal="left" vertical="center" wrapText="1"/>
    </xf>
    <xf numFmtId="0" fontId="3" fillId="5" borderId="19" xfId="0" applyFont="1" applyFill="1" applyBorder="1" applyAlignment="1">
      <alignment horizontal="left" vertical="center" wrapText="1"/>
    </xf>
    <xf numFmtId="0" fontId="13" fillId="6" borderId="9"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23" fillId="2" borderId="10" xfId="0" applyFont="1" applyFill="1" applyBorder="1" applyAlignment="1">
      <alignment horizontal="left" vertical="center" wrapText="1"/>
    </xf>
    <xf numFmtId="0" fontId="10" fillId="6" borderId="6" xfId="0" applyFont="1" applyFill="1" applyBorder="1" applyAlignment="1">
      <alignment horizontal="center" vertical="center"/>
    </xf>
    <xf numFmtId="0" fontId="10" fillId="6" borderId="7" xfId="0" applyFont="1" applyFill="1" applyBorder="1" applyAlignment="1">
      <alignment horizontal="center" vertical="center"/>
    </xf>
    <xf numFmtId="0" fontId="10" fillId="6" borderId="8" xfId="0" applyFont="1" applyFill="1" applyBorder="1" applyAlignment="1">
      <alignment horizontal="center" vertical="center"/>
    </xf>
    <xf numFmtId="0" fontId="12" fillId="3" borderId="9" xfId="0" applyFont="1" applyFill="1" applyBorder="1" applyAlignment="1">
      <alignment horizontal="left"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5" fillId="4" borderId="6"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6"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7" fillId="3" borderId="6" xfId="0" applyFont="1" applyFill="1" applyBorder="1" applyAlignment="1">
      <alignment horizontal="center" vertical="center"/>
    </xf>
    <xf numFmtId="0" fontId="17" fillId="3" borderId="7" xfId="0" applyFont="1" applyFill="1" applyBorder="1" applyAlignment="1">
      <alignment horizontal="center" vertical="center"/>
    </xf>
    <xf numFmtId="0" fontId="17" fillId="3" borderId="8" xfId="0" applyFont="1" applyFill="1" applyBorder="1" applyAlignment="1">
      <alignment horizontal="center" vertical="center"/>
    </xf>
    <xf numFmtId="10" fontId="13" fillId="5" borderId="27" xfId="2" applyNumberFormat="1" applyFont="1" applyFill="1" applyBorder="1" applyAlignment="1">
      <alignment horizontal="center" vertical="center" wrapText="1"/>
    </xf>
    <xf numFmtId="10" fontId="13" fillId="5" borderId="43" xfId="2" applyNumberFormat="1" applyFont="1" applyFill="1" applyBorder="1" applyAlignment="1">
      <alignment horizontal="center" vertical="center" wrapText="1"/>
    </xf>
    <xf numFmtId="10" fontId="13" fillId="5" borderId="28" xfId="2"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21"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3" xfId="0" applyFont="1" applyFill="1" applyBorder="1" applyAlignment="1">
      <alignment horizontal="center" vertical="center" wrapText="1"/>
    </xf>
    <xf numFmtId="0" fontId="13" fillId="5" borderId="22" xfId="0" applyFont="1" applyFill="1" applyBorder="1" applyAlignment="1">
      <alignment horizontal="left" vertical="center" wrapText="1"/>
    </xf>
    <xf numFmtId="0" fontId="13" fillId="5" borderId="23" xfId="0" applyFont="1" applyFill="1" applyBorder="1" applyAlignment="1">
      <alignment horizontal="left" vertical="center" wrapText="1"/>
    </xf>
    <xf numFmtId="0" fontId="13" fillId="5" borderId="20"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3" fillId="5" borderId="26"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3" fillId="5" borderId="23" xfId="0" applyFont="1" applyFill="1" applyBorder="1" applyAlignment="1">
      <alignment horizontal="center" vertical="center" wrapText="1"/>
    </xf>
    <xf numFmtId="0" fontId="13" fillId="5" borderId="2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11" fillId="3" borderId="6"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3" fillId="5" borderId="46" xfId="0" applyFont="1" applyFill="1" applyBorder="1" applyAlignment="1">
      <alignment horizontal="center" vertical="center" wrapText="1"/>
    </xf>
    <xf numFmtId="0" fontId="13" fillId="5" borderId="39" xfId="0" applyFont="1" applyFill="1" applyBorder="1" applyAlignment="1">
      <alignment horizontal="center" vertical="center" wrapText="1"/>
    </xf>
    <xf numFmtId="0" fontId="20" fillId="3" borderId="6"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7" xfId="0" applyFont="1" applyFill="1" applyBorder="1" applyAlignment="1">
      <alignment horizontal="center" vertical="center"/>
    </xf>
    <xf numFmtId="0" fontId="19" fillId="4" borderId="8" xfId="0" applyFont="1" applyFill="1" applyBorder="1" applyAlignment="1">
      <alignment horizontal="center" vertical="center"/>
    </xf>
    <xf numFmtId="10" fontId="18" fillId="5" borderId="14" xfId="0" applyNumberFormat="1" applyFont="1" applyFill="1" applyBorder="1" applyAlignment="1">
      <alignment horizontal="center" vertical="center"/>
    </xf>
    <xf numFmtId="43" fontId="18" fillId="5" borderId="16" xfId="0" applyNumberFormat="1" applyFont="1" applyFill="1" applyBorder="1" applyAlignment="1">
      <alignment horizontal="center" vertical="center"/>
    </xf>
    <xf numFmtId="0" fontId="11" fillId="3" borderId="9" xfId="0" applyFont="1" applyFill="1" applyBorder="1" applyAlignment="1">
      <alignment horizontal="center" vertical="center" wrapText="1"/>
    </xf>
    <xf numFmtId="0" fontId="11" fillId="3" borderId="11" xfId="0" applyFont="1" applyFill="1" applyBorder="1" applyAlignment="1">
      <alignment horizontal="center" vertical="center" wrapText="1"/>
    </xf>
    <xf numFmtId="164" fontId="18" fillId="5" borderId="14" xfId="0" applyNumberFormat="1" applyFont="1" applyFill="1" applyBorder="1" applyAlignment="1">
      <alignment horizontal="center" vertical="center"/>
    </xf>
    <xf numFmtId="164" fontId="18" fillId="5" borderId="16" xfId="0" applyNumberFormat="1" applyFont="1" applyFill="1" applyBorder="1" applyAlignment="1">
      <alignment horizontal="center" vertical="center"/>
    </xf>
    <xf numFmtId="10" fontId="18" fillId="5" borderId="16" xfId="0" applyNumberFormat="1" applyFont="1" applyFill="1" applyBorder="1" applyAlignment="1">
      <alignment horizontal="center" vertical="center"/>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9" xfId="0" applyFont="1" applyFill="1" applyBorder="1" applyAlignment="1">
      <alignment horizontal="right" vertical="center" wrapText="1"/>
    </xf>
    <xf numFmtId="170" fontId="0" fillId="5" borderId="21" xfId="0" applyNumberFormat="1" applyFill="1" applyBorder="1" applyAlignment="1">
      <alignment horizontal="right" vertical="center" wrapText="1"/>
    </xf>
    <xf numFmtId="8" fontId="0" fillId="5" borderId="21" xfId="0" applyNumberFormat="1" applyFill="1" applyBorder="1" applyAlignment="1">
      <alignment horizontal="right" vertical="center" wrapText="1"/>
    </xf>
    <xf numFmtId="10" fontId="0" fillId="5" borderId="24" xfId="2" applyNumberFormat="1" applyFont="1" applyFill="1" applyBorder="1" applyAlignment="1">
      <alignment horizontal="right" vertical="center" wrapText="1"/>
    </xf>
    <xf numFmtId="0" fontId="0" fillId="5" borderId="9" xfId="0" applyFill="1" applyBorder="1" applyAlignment="1">
      <alignment horizontal="center" vertical="center" wrapText="1"/>
    </xf>
    <xf numFmtId="0" fontId="0" fillId="5" borderId="10"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0"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16" xfId="0" applyFill="1" applyBorder="1" applyAlignment="1">
      <alignment horizontal="center" vertical="center" wrapText="1"/>
    </xf>
    <xf numFmtId="0" fontId="2" fillId="3" borderId="11" xfId="0" applyFont="1" applyFill="1" applyBorder="1" applyAlignment="1">
      <alignment horizontal="center" vertical="center"/>
    </xf>
    <xf numFmtId="0" fontId="0" fillId="5" borderId="9" xfId="0" applyFont="1" applyFill="1" applyBorder="1" applyAlignment="1">
      <alignment horizontal="left" vertical="center" wrapText="1"/>
    </xf>
    <xf numFmtId="0" fontId="0" fillId="5" borderId="10" xfId="0" applyFont="1" applyFill="1" applyBorder="1" applyAlignment="1">
      <alignment horizontal="left" vertical="center" wrapText="1"/>
    </xf>
    <xf numFmtId="0" fontId="0" fillId="5" borderId="11" xfId="0" applyFont="1" applyFill="1" applyBorder="1" applyAlignment="1">
      <alignment horizontal="left" vertical="center" wrapText="1"/>
    </xf>
    <xf numFmtId="0" fontId="0" fillId="5" borderId="12" xfId="0" applyFont="1" applyFill="1" applyBorder="1" applyAlignment="1">
      <alignment horizontal="left" vertical="center" wrapText="1"/>
    </xf>
    <xf numFmtId="0" fontId="0" fillId="5" borderId="0" xfId="0" applyFont="1" applyFill="1" applyBorder="1" applyAlignment="1">
      <alignment horizontal="left" vertical="center" wrapText="1"/>
    </xf>
    <xf numFmtId="0" fontId="0" fillId="5" borderId="13" xfId="0" applyFont="1" applyFill="1" applyBorder="1" applyAlignment="1">
      <alignment horizontal="left" vertical="center" wrapText="1"/>
    </xf>
    <xf numFmtId="0" fontId="0" fillId="5" borderId="14" xfId="0" applyFont="1" applyFill="1" applyBorder="1" applyAlignment="1">
      <alignment horizontal="left" vertical="center" wrapText="1"/>
    </xf>
    <xf numFmtId="0" fontId="0" fillId="5" borderId="15" xfId="0" applyFont="1" applyFill="1" applyBorder="1" applyAlignment="1">
      <alignment horizontal="left" vertical="center" wrapText="1"/>
    </xf>
    <xf numFmtId="0" fontId="0" fillId="5" borderId="16" xfId="0" applyFont="1" applyFill="1" applyBorder="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dk1"/>
                </a:solidFill>
                <a:latin typeface="+mn-lt"/>
                <a:ea typeface="+mn-ea"/>
                <a:cs typeface="+mn-cs"/>
              </a:defRPr>
            </a:pPr>
            <a:r>
              <a:rPr lang="en-IN" b="1"/>
              <a:t>Revenue vs Net Profit Trend</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v>Revenue</c:v>
          </c:tx>
          <c:spPr>
            <a:solidFill>
              <a:schemeClr val="accent1">
                <a:lumMod val="40000"/>
                <a:lumOff val="60000"/>
              </a:schemeClr>
            </a:solidFill>
            <a:ln>
              <a:noFill/>
            </a:ln>
            <a:effectLst/>
          </c:spPr>
          <c:invertIfNegative val="0"/>
          <c:cat>
            <c:strRef>
              <c:f>'Financial Data'!$C$9:$G$9</c:f>
              <c:strCache>
                <c:ptCount val="5"/>
                <c:pt idx="0">
                  <c:v>FY21-22</c:v>
                </c:pt>
                <c:pt idx="1">
                  <c:v>FY22-23</c:v>
                </c:pt>
                <c:pt idx="2">
                  <c:v>FY23-24</c:v>
                </c:pt>
                <c:pt idx="3">
                  <c:v>FY24-25</c:v>
                </c:pt>
                <c:pt idx="4">
                  <c:v>FY25-26</c:v>
                </c:pt>
              </c:strCache>
            </c:strRef>
          </c:cat>
          <c:val>
            <c:numRef>
              <c:f>'Financial Data'!$C$10:$G$10</c:f>
              <c:numCache>
                <c:formatCode>_(* #,##0.00_);_(* \(#,##0.00\);_(* "-"??_);_(@_)</c:formatCode>
                <c:ptCount val="5"/>
                <c:pt idx="0">
                  <c:v>3774</c:v>
                </c:pt>
                <c:pt idx="1">
                  <c:v>5144</c:v>
                </c:pt>
                <c:pt idx="2">
                  <c:v>6386</c:v>
                </c:pt>
                <c:pt idx="3">
                  <c:v>7950</c:v>
                </c:pt>
                <c:pt idx="4">
                  <c:v>10022</c:v>
                </c:pt>
              </c:numCache>
            </c:numRef>
          </c:val>
          <c:extLst>
            <c:ext xmlns:c16="http://schemas.microsoft.com/office/drawing/2014/chart" uri="{C3380CC4-5D6E-409C-BE32-E72D297353CC}">
              <c16:uniqueId val="{00000000-7C43-499E-AABF-53F406FFBCE8}"/>
            </c:ext>
          </c:extLst>
        </c:ser>
        <c:dLbls>
          <c:showLegendKey val="0"/>
          <c:showVal val="0"/>
          <c:showCatName val="0"/>
          <c:showSerName val="0"/>
          <c:showPercent val="0"/>
          <c:showBubbleSize val="0"/>
        </c:dLbls>
        <c:gapWidth val="219"/>
        <c:overlap val="-27"/>
        <c:axId val="977874656"/>
        <c:axId val="988306384"/>
      </c:barChart>
      <c:lineChart>
        <c:grouping val="standard"/>
        <c:varyColors val="0"/>
        <c:ser>
          <c:idx val="1"/>
          <c:order val="1"/>
          <c:tx>
            <c:v>Net Profit</c:v>
          </c:tx>
          <c:spPr>
            <a:ln w="34925" cap="rnd">
              <a:solidFill>
                <a:schemeClr val="accent1">
                  <a:lumMod val="50000"/>
                </a:schemeClr>
              </a:solidFill>
              <a:round/>
            </a:ln>
            <a:effectLst/>
          </c:spPr>
          <c:marker>
            <c:symbol val="none"/>
          </c:marker>
          <c:cat>
            <c:strRef>
              <c:f>'Financial Data'!$C$9:$G$9</c:f>
              <c:strCache>
                <c:ptCount val="5"/>
                <c:pt idx="0">
                  <c:v>FY21-22</c:v>
                </c:pt>
                <c:pt idx="1">
                  <c:v>FY22-23</c:v>
                </c:pt>
                <c:pt idx="2">
                  <c:v>FY23-24</c:v>
                </c:pt>
                <c:pt idx="3">
                  <c:v>FY24-25</c:v>
                </c:pt>
                <c:pt idx="4">
                  <c:v>FY25-26</c:v>
                </c:pt>
              </c:strCache>
            </c:strRef>
          </c:cat>
          <c:val>
            <c:numRef>
              <c:f>'Financial Data'!$C$18:$G$18</c:f>
              <c:numCache>
                <c:formatCode>_(* #,##0.00_);_(* \(#,##0.00\);_(* "-"??_);_(@_)</c:formatCode>
                <c:ptCount val="5"/>
                <c:pt idx="0">
                  <c:v>41</c:v>
                </c:pt>
                <c:pt idx="1">
                  <c:v>21</c:v>
                </c:pt>
                <c:pt idx="2">
                  <c:v>40</c:v>
                </c:pt>
                <c:pt idx="3">
                  <c:v>72</c:v>
                </c:pt>
                <c:pt idx="4">
                  <c:v>204</c:v>
                </c:pt>
              </c:numCache>
            </c:numRef>
          </c:val>
          <c:smooth val="0"/>
          <c:extLst>
            <c:ext xmlns:c16="http://schemas.microsoft.com/office/drawing/2014/chart" uri="{C3380CC4-5D6E-409C-BE32-E72D297353CC}">
              <c16:uniqueId val="{00000001-7C43-499E-AABF-53F406FFBCE8}"/>
            </c:ext>
          </c:extLst>
        </c:ser>
        <c:dLbls>
          <c:showLegendKey val="0"/>
          <c:showVal val="0"/>
          <c:showCatName val="0"/>
          <c:showSerName val="0"/>
          <c:showPercent val="0"/>
          <c:showBubbleSize val="0"/>
        </c:dLbls>
        <c:marker val="1"/>
        <c:smooth val="0"/>
        <c:axId val="977887184"/>
        <c:axId val="988329424"/>
      </c:lineChart>
      <c:catAx>
        <c:axId val="9778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988306384"/>
        <c:crosses val="autoZero"/>
        <c:auto val="1"/>
        <c:lblAlgn val="ctr"/>
        <c:lblOffset val="100"/>
        <c:noMultiLvlLbl val="0"/>
      </c:catAx>
      <c:valAx>
        <c:axId val="988306384"/>
        <c:scaling>
          <c:orientation val="minMax"/>
          <c:max val="10000"/>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977874656"/>
        <c:crosses val="autoZero"/>
        <c:crossBetween val="between"/>
      </c:valAx>
      <c:valAx>
        <c:axId val="988329424"/>
        <c:scaling>
          <c:orientation val="minMax"/>
          <c:max val="200"/>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977887184"/>
        <c:crosses val="max"/>
        <c:crossBetween val="between"/>
      </c:valAx>
      <c:catAx>
        <c:axId val="977887184"/>
        <c:scaling>
          <c:orientation val="minMax"/>
        </c:scaling>
        <c:delete val="1"/>
        <c:axPos val="b"/>
        <c:numFmt formatCode="General" sourceLinked="1"/>
        <c:majorTickMark val="out"/>
        <c:minorTickMark val="none"/>
        <c:tickLblPos val="nextTo"/>
        <c:crossAx val="988329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dk1"/>
                </a:solidFill>
                <a:latin typeface="+mn-lt"/>
                <a:ea typeface="+mn-ea"/>
                <a:cs typeface="+mn-cs"/>
              </a:defRPr>
            </a:pPr>
            <a:r>
              <a:rPr lang="en-IN" b="1"/>
              <a:t>Revenue Growth Trend</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'Financial Analysis'!$AB$5</c:f>
              <c:strCache>
                <c:ptCount val="1"/>
                <c:pt idx="0">
                  <c:v>Revenue Growth</c:v>
                </c:pt>
              </c:strCache>
            </c:strRef>
          </c:tx>
          <c:spPr>
            <a:ln w="44450"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8.7173665791776059E-2"/>
                  <c:y val="-7.2141294838145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8-4029-B8D5-402735D90A40}"/>
                </c:ext>
              </c:extLst>
            </c:dLbl>
            <c:dLbl>
              <c:idx val="1"/>
              <c:layout>
                <c:manualLayout>
                  <c:x val="-0.12050699912510932"/>
                  <c:y val="4.3599445902595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8-4029-B8D5-402735D90A40}"/>
                </c:ext>
              </c:extLst>
            </c:dLbl>
            <c:dLbl>
              <c:idx val="2"/>
              <c:layout>
                <c:manualLayout>
                  <c:x val="-8.4395888013998346E-2"/>
                  <c:y val="-7.2141294838145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8-4029-B8D5-402735D90A40}"/>
                </c:ext>
              </c:extLst>
            </c:dLbl>
            <c:dLbl>
              <c:idx val="3"/>
              <c:layout>
                <c:manualLayout>
                  <c:x val="-4.6112423447069222E-2"/>
                  <c:y val="-7.6770924467774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8-4029-B8D5-402735D90A40}"/>
                </c:ext>
              </c:extLst>
            </c:dLbl>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Analysis'!$AA$6:$AA$9</c:f>
              <c:strCache>
                <c:ptCount val="4"/>
                <c:pt idx="0">
                  <c:v>FY23</c:v>
                </c:pt>
                <c:pt idx="1">
                  <c:v>FY24</c:v>
                </c:pt>
                <c:pt idx="2">
                  <c:v>FY25</c:v>
                </c:pt>
                <c:pt idx="3">
                  <c:v>FY26</c:v>
                </c:pt>
              </c:strCache>
            </c:strRef>
          </c:cat>
          <c:val>
            <c:numRef>
              <c:f>'Financial Analysis'!$AB$6:$AB$9</c:f>
              <c:numCache>
                <c:formatCode>0.00%</c:formatCode>
                <c:ptCount val="4"/>
                <c:pt idx="0">
                  <c:v>0.36299999999999999</c:v>
                </c:pt>
                <c:pt idx="1">
                  <c:v>0.2414</c:v>
                </c:pt>
                <c:pt idx="2">
                  <c:v>0.24490000000000001</c:v>
                </c:pt>
                <c:pt idx="3">
                  <c:v>0.2606</c:v>
                </c:pt>
              </c:numCache>
            </c:numRef>
          </c:val>
          <c:smooth val="0"/>
          <c:extLst>
            <c:ext xmlns:c16="http://schemas.microsoft.com/office/drawing/2014/chart" uri="{C3380CC4-5D6E-409C-BE32-E72D297353CC}">
              <c16:uniqueId val="{00000000-EFA8-4029-B8D5-402735D90A40}"/>
            </c:ext>
          </c:extLst>
        </c:ser>
        <c:dLbls>
          <c:dLblPos val="t"/>
          <c:showLegendKey val="0"/>
          <c:showVal val="1"/>
          <c:showCatName val="0"/>
          <c:showSerName val="0"/>
          <c:showPercent val="0"/>
          <c:showBubbleSize val="0"/>
        </c:dLbls>
        <c:marker val="1"/>
        <c:smooth val="0"/>
        <c:axId val="1338683360"/>
        <c:axId val="1196992688"/>
      </c:lineChart>
      <c:catAx>
        <c:axId val="13386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196992688"/>
        <c:crosses val="autoZero"/>
        <c:auto val="1"/>
        <c:lblAlgn val="ctr"/>
        <c:lblOffset val="100"/>
        <c:noMultiLvlLbl val="0"/>
      </c:catAx>
      <c:valAx>
        <c:axId val="1196992688"/>
        <c:scaling>
          <c:orientation val="minMax"/>
          <c:min val="0.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133868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dk1"/>
                </a:solidFill>
                <a:latin typeface="+mn-lt"/>
                <a:ea typeface="+mn-ea"/>
                <a:cs typeface="+mn-cs"/>
              </a:defRPr>
            </a:pPr>
            <a:r>
              <a:rPr lang="en-IN" b="1"/>
              <a:t>Profitability Trend</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'Financial Analysis'!$AA$11</c:f>
              <c:strCache>
                <c:ptCount val="1"/>
                <c:pt idx="0">
                  <c:v>Operating Margin</c:v>
                </c:pt>
              </c:strCache>
            </c:strRef>
          </c:tx>
          <c:spPr>
            <a:ln w="38100" cap="rnd">
              <a:solidFill>
                <a:schemeClr val="accent6">
                  <a:lumMod val="75000"/>
                </a:schemeClr>
              </a:solidFill>
              <a:round/>
            </a:ln>
            <a:effectLst/>
          </c:spPr>
          <c:marker>
            <c:symbol val="circle"/>
            <c:size val="5"/>
            <c:spPr>
              <a:solidFill>
                <a:schemeClr val="accent1"/>
              </a:solidFill>
              <a:ln w="9525">
                <a:solidFill>
                  <a:schemeClr val="accent1"/>
                </a:solidFill>
              </a:ln>
              <a:effectLst/>
            </c:spPr>
          </c:marker>
          <c:cat>
            <c:strRef>
              <c:f>'Financial Analysis'!$Z$12:$Z$16</c:f>
              <c:strCache>
                <c:ptCount val="5"/>
                <c:pt idx="0">
                  <c:v>FY22</c:v>
                </c:pt>
                <c:pt idx="1">
                  <c:v>FY23</c:v>
                </c:pt>
                <c:pt idx="2">
                  <c:v>FY24</c:v>
                </c:pt>
                <c:pt idx="3">
                  <c:v>FY25</c:v>
                </c:pt>
                <c:pt idx="4">
                  <c:v>FY26</c:v>
                </c:pt>
              </c:strCache>
            </c:strRef>
          </c:cat>
          <c:val>
            <c:numRef>
              <c:f>'Financial Analysis'!$AA$12:$AA$16</c:f>
              <c:numCache>
                <c:formatCode>0.00%</c:formatCode>
                <c:ptCount val="5"/>
                <c:pt idx="0">
                  <c:v>4.3499999999999997E-2</c:v>
                </c:pt>
                <c:pt idx="1">
                  <c:v>0.05</c:v>
                </c:pt>
                <c:pt idx="2">
                  <c:v>5.4300000000000001E-2</c:v>
                </c:pt>
                <c:pt idx="3">
                  <c:v>5.9700000000000003E-2</c:v>
                </c:pt>
                <c:pt idx="4">
                  <c:v>7.4999999999999997E-2</c:v>
                </c:pt>
              </c:numCache>
            </c:numRef>
          </c:val>
          <c:smooth val="0"/>
          <c:extLst>
            <c:ext xmlns:c16="http://schemas.microsoft.com/office/drawing/2014/chart" uri="{C3380CC4-5D6E-409C-BE32-E72D297353CC}">
              <c16:uniqueId val="{00000000-A1F4-424F-A1A6-3101D6E50EE5}"/>
            </c:ext>
          </c:extLst>
        </c:ser>
        <c:ser>
          <c:idx val="1"/>
          <c:order val="1"/>
          <c:tx>
            <c:strRef>
              <c:f>'Financial Analysis'!$AB$11</c:f>
              <c:strCache>
                <c:ptCount val="1"/>
                <c:pt idx="0">
                  <c:v>Net Margin</c:v>
                </c:pt>
              </c:strCache>
            </c:strRef>
          </c:tx>
          <c:spPr>
            <a:ln w="38100" cap="rnd">
              <a:solidFill>
                <a:schemeClr val="accent1">
                  <a:lumMod val="75000"/>
                </a:schemeClr>
              </a:solidFill>
              <a:round/>
            </a:ln>
            <a:effectLst/>
          </c:spPr>
          <c:marker>
            <c:symbol val="circle"/>
            <c:size val="5"/>
            <c:spPr>
              <a:solidFill>
                <a:schemeClr val="accent2"/>
              </a:solidFill>
              <a:ln w="9525">
                <a:solidFill>
                  <a:schemeClr val="accent2"/>
                </a:solidFill>
              </a:ln>
              <a:effectLst/>
            </c:spPr>
          </c:marker>
          <c:cat>
            <c:strRef>
              <c:f>'Financial Analysis'!$Z$12:$Z$16</c:f>
              <c:strCache>
                <c:ptCount val="5"/>
                <c:pt idx="0">
                  <c:v>FY22</c:v>
                </c:pt>
                <c:pt idx="1">
                  <c:v>FY23</c:v>
                </c:pt>
                <c:pt idx="2">
                  <c:v>FY24</c:v>
                </c:pt>
                <c:pt idx="3">
                  <c:v>FY25</c:v>
                </c:pt>
                <c:pt idx="4">
                  <c:v>FY26</c:v>
                </c:pt>
              </c:strCache>
            </c:strRef>
          </c:cat>
          <c:val>
            <c:numRef>
              <c:f>'Financial Analysis'!$AB$12:$AB$16</c:f>
              <c:numCache>
                <c:formatCode>0.00%</c:formatCode>
                <c:ptCount val="5"/>
                <c:pt idx="0">
                  <c:v>1.09E-2</c:v>
                </c:pt>
                <c:pt idx="1">
                  <c:v>4.1000000000000003E-3</c:v>
                </c:pt>
                <c:pt idx="2">
                  <c:v>6.3E-3</c:v>
                </c:pt>
                <c:pt idx="3">
                  <c:v>9.1000000000000004E-3</c:v>
                </c:pt>
                <c:pt idx="4">
                  <c:v>2.0400000000000001E-2</c:v>
                </c:pt>
              </c:numCache>
            </c:numRef>
          </c:val>
          <c:smooth val="0"/>
          <c:extLst>
            <c:ext xmlns:c16="http://schemas.microsoft.com/office/drawing/2014/chart" uri="{C3380CC4-5D6E-409C-BE32-E72D297353CC}">
              <c16:uniqueId val="{00000001-A1F4-424F-A1A6-3101D6E50EE5}"/>
            </c:ext>
          </c:extLst>
        </c:ser>
        <c:dLbls>
          <c:showLegendKey val="0"/>
          <c:showVal val="0"/>
          <c:showCatName val="0"/>
          <c:showSerName val="0"/>
          <c:showPercent val="0"/>
          <c:showBubbleSize val="0"/>
        </c:dLbls>
        <c:marker val="1"/>
        <c:smooth val="0"/>
        <c:axId val="1345185264"/>
        <c:axId val="1197022928"/>
      </c:lineChart>
      <c:catAx>
        <c:axId val="13451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197022928"/>
        <c:crosses val="autoZero"/>
        <c:auto val="1"/>
        <c:lblAlgn val="ctr"/>
        <c:lblOffset val="100"/>
        <c:noMultiLvlLbl val="0"/>
      </c:catAx>
      <c:valAx>
        <c:axId val="11970229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1345185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00" b="1" i="0" u="none" strike="noStrike" kern="1200" spc="0" baseline="0">
                <a:solidFill>
                  <a:schemeClr val="dk1"/>
                </a:solidFill>
                <a:latin typeface="+mn-lt"/>
                <a:ea typeface="+mn-ea"/>
                <a:cs typeface="+mn-cs"/>
              </a:defRPr>
            </a:pPr>
            <a:r>
              <a:rPr lang="en-IN" sz="1700" b="1"/>
              <a:t>Cash Flow Trend</a:t>
            </a:r>
          </a:p>
        </c:rich>
      </c:tx>
      <c:overlay val="0"/>
      <c:spPr>
        <a:noFill/>
        <a:ln>
          <a:noFill/>
        </a:ln>
        <a:effectLst/>
      </c:spPr>
      <c:txPr>
        <a:bodyPr rot="0" spcFirstLastPara="1" vertOverflow="ellipsis" vert="horz" wrap="square" anchor="ctr" anchorCtr="1"/>
        <a:lstStyle/>
        <a:p>
          <a:pPr>
            <a:defRPr sz="1700" b="1"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'Financial Analysis'!$AE$5</c:f>
              <c:strCache>
                <c:ptCount val="1"/>
                <c:pt idx="0">
                  <c:v>Operating CF</c:v>
                </c:pt>
              </c:strCache>
            </c:strRef>
          </c:tx>
          <c:spPr>
            <a:solidFill>
              <a:schemeClr val="accent6">
                <a:lumMod val="75000"/>
              </a:schemeClr>
            </a:solidFill>
            <a:ln>
              <a:noFill/>
            </a:ln>
            <a:effectLst/>
          </c:spPr>
          <c:invertIfNegative val="0"/>
          <c:cat>
            <c:strRef>
              <c:f>'Financial Analysis'!$AD$6:$AD$10</c:f>
              <c:strCache>
                <c:ptCount val="5"/>
                <c:pt idx="0">
                  <c:v>FY22</c:v>
                </c:pt>
                <c:pt idx="1">
                  <c:v>FY23</c:v>
                </c:pt>
                <c:pt idx="2">
                  <c:v>FY24</c:v>
                </c:pt>
                <c:pt idx="3">
                  <c:v>FY25</c:v>
                </c:pt>
                <c:pt idx="4">
                  <c:v>FY26</c:v>
                </c:pt>
              </c:strCache>
            </c:strRef>
          </c:cat>
          <c:val>
            <c:numRef>
              <c:f>'Financial Analysis'!$AE$6:$AE$10</c:f>
              <c:numCache>
                <c:formatCode>General</c:formatCode>
                <c:ptCount val="5"/>
                <c:pt idx="0">
                  <c:v>-354</c:v>
                </c:pt>
                <c:pt idx="1">
                  <c:v>-140</c:v>
                </c:pt>
                <c:pt idx="2">
                  <c:v>0</c:v>
                </c:pt>
                <c:pt idx="3">
                  <c:v>467</c:v>
                </c:pt>
                <c:pt idx="4">
                  <c:v>644</c:v>
                </c:pt>
              </c:numCache>
            </c:numRef>
          </c:val>
          <c:extLst>
            <c:ext xmlns:c16="http://schemas.microsoft.com/office/drawing/2014/chart" uri="{C3380CC4-5D6E-409C-BE32-E72D297353CC}">
              <c16:uniqueId val="{00000000-82C1-4AC2-807C-27D28550C6DF}"/>
            </c:ext>
          </c:extLst>
        </c:ser>
        <c:ser>
          <c:idx val="1"/>
          <c:order val="1"/>
          <c:tx>
            <c:strRef>
              <c:f>'Financial Analysis'!$AF$5</c:f>
              <c:strCache>
                <c:ptCount val="1"/>
                <c:pt idx="0">
                  <c:v>Free CF</c:v>
                </c:pt>
              </c:strCache>
            </c:strRef>
          </c:tx>
          <c:spPr>
            <a:solidFill>
              <a:schemeClr val="accent1">
                <a:lumMod val="60000"/>
                <a:lumOff val="40000"/>
              </a:schemeClr>
            </a:solidFill>
            <a:ln>
              <a:noFill/>
            </a:ln>
            <a:effectLst/>
          </c:spPr>
          <c:invertIfNegative val="0"/>
          <c:cat>
            <c:strRef>
              <c:f>'Financial Analysis'!$AD$6:$AD$10</c:f>
              <c:strCache>
                <c:ptCount val="5"/>
                <c:pt idx="0">
                  <c:v>FY22</c:v>
                </c:pt>
                <c:pt idx="1">
                  <c:v>FY23</c:v>
                </c:pt>
                <c:pt idx="2">
                  <c:v>FY24</c:v>
                </c:pt>
                <c:pt idx="3">
                  <c:v>FY25</c:v>
                </c:pt>
                <c:pt idx="4">
                  <c:v>FY26</c:v>
                </c:pt>
              </c:strCache>
            </c:strRef>
          </c:cat>
          <c:val>
            <c:numRef>
              <c:f>'Financial Analysis'!$AF$6:$AF$10</c:f>
              <c:numCache>
                <c:formatCode>General</c:formatCode>
                <c:ptCount val="5"/>
                <c:pt idx="0">
                  <c:v>-448</c:v>
                </c:pt>
                <c:pt idx="1">
                  <c:v>-348</c:v>
                </c:pt>
                <c:pt idx="2">
                  <c:v>-110</c:v>
                </c:pt>
                <c:pt idx="3">
                  <c:v>339</c:v>
                </c:pt>
                <c:pt idx="4">
                  <c:v>493</c:v>
                </c:pt>
              </c:numCache>
            </c:numRef>
          </c:val>
          <c:extLst>
            <c:ext xmlns:c16="http://schemas.microsoft.com/office/drawing/2014/chart" uri="{C3380CC4-5D6E-409C-BE32-E72D297353CC}">
              <c16:uniqueId val="{00000001-82C1-4AC2-807C-27D28550C6DF}"/>
            </c:ext>
          </c:extLst>
        </c:ser>
        <c:dLbls>
          <c:showLegendKey val="0"/>
          <c:showVal val="0"/>
          <c:showCatName val="0"/>
          <c:showSerName val="0"/>
          <c:showPercent val="0"/>
          <c:showBubbleSize val="0"/>
        </c:dLbls>
        <c:gapWidth val="219"/>
        <c:overlap val="-27"/>
        <c:axId val="1345127904"/>
        <c:axId val="1197011888"/>
      </c:barChart>
      <c:catAx>
        <c:axId val="134512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1197011888"/>
        <c:crosses val="autoZero"/>
        <c:auto val="1"/>
        <c:lblAlgn val="ctr"/>
        <c:lblOffset val="100"/>
        <c:noMultiLvlLbl val="0"/>
      </c:catAx>
      <c:valAx>
        <c:axId val="1197011888"/>
        <c:scaling>
          <c:orientation val="minMax"/>
          <c:max val="700"/>
          <c:min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1345127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IN" sz="1800" b="1"/>
              <a:t>Market Performance vs Business Performance</a:t>
            </a:r>
          </a:p>
        </c:rich>
      </c:tx>
      <c:layout>
        <c:manualLayout>
          <c:xMode val="edge"/>
          <c:yMode val="edge"/>
          <c:x val="0.2006129466525631"/>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2"/>
          <c:order val="2"/>
          <c:spPr>
            <a:solidFill>
              <a:schemeClr val="accent1">
                <a:lumMod val="60000"/>
                <a:lumOff val="40000"/>
              </a:schemeClr>
            </a:solidFill>
            <a:ln>
              <a:noFill/>
            </a:ln>
            <a:effectLst/>
          </c:spPr>
          <c:invertIfNegative val="0"/>
          <c:dLbls>
            <c:numFmt formatCode="&quot;₹&quot;\ #,##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Analysis'!$J$18:$J$19</c:f>
              <c:strCache>
                <c:ptCount val="2"/>
                <c:pt idx="0">
                  <c:v>IPO Issue Price (2021)</c:v>
                </c:pt>
                <c:pt idx="1">
                  <c:v>Current Share Price (2026)</c:v>
                </c:pt>
              </c:strCache>
            </c:strRef>
          </c:cat>
          <c:val>
            <c:numRef>
              <c:f>'Financial Analysis'!$M$18:$M$19</c:f>
              <c:numCache>
                <c:formatCode>"₹"\ #,##0.00</c:formatCode>
                <c:ptCount val="2"/>
                <c:pt idx="0" formatCode="&quot;₹&quot;#,##0.00_);[Red]\(&quot;₹&quot;#,##0.00\)">
                  <c:v>1125</c:v>
                </c:pt>
                <c:pt idx="1">
                  <c:v>314.39999999999998</c:v>
                </c:pt>
              </c:numCache>
            </c:numRef>
          </c:val>
          <c:extLst>
            <c:ext xmlns:c16="http://schemas.microsoft.com/office/drawing/2014/chart" uri="{C3380CC4-5D6E-409C-BE32-E72D297353CC}">
              <c16:uniqueId val="{00000000-F212-49CE-96C1-178D82B107AC}"/>
            </c:ext>
          </c:extLst>
        </c:ser>
        <c:dLbls>
          <c:dLblPos val="outEnd"/>
          <c:showLegendKey val="0"/>
          <c:showVal val="1"/>
          <c:showCatName val="0"/>
          <c:showSerName val="0"/>
          <c:showPercent val="0"/>
          <c:showBubbleSize val="0"/>
        </c:dLbls>
        <c:gapWidth val="400"/>
        <c:overlap val="-27"/>
        <c:axId val="740185584"/>
        <c:axId val="740257328"/>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'Financial Analysis'!$J$18:$J$19</c15:sqref>
                        </c15:formulaRef>
                      </c:ext>
                    </c:extLst>
                    <c:strCache>
                      <c:ptCount val="2"/>
                      <c:pt idx="0">
                        <c:v>IPO Issue Price (2021)</c:v>
                      </c:pt>
                      <c:pt idx="1">
                        <c:v>Current Share Price (2026)</c:v>
                      </c:pt>
                    </c:strCache>
                  </c:strRef>
                </c:cat>
                <c:val>
                  <c:numRef>
                    <c:extLst>
                      <c:ext uri="{02D57815-91ED-43cb-92C2-25804820EDAC}">
                        <c15:formulaRef>
                          <c15:sqref>'Financial Analysis'!$K$18:$K$19</c15:sqref>
                        </c15:formulaRef>
                      </c:ext>
                    </c:extLst>
                    <c:numCache>
                      <c:formatCode>General</c:formatCode>
                      <c:ptCount val="2"/>
                    </c:numCache>
                  </c:numRef>
                </c:val>
                <c:extLst>
                  <c:ext xmlns:c16="http://schemas.microsoft.com/office/drawing/2014/chart" uri="{C3380CC4-5D6E-409C-BE32-E72D297353CC}">
                    <c16:uniqueId val="{00000001-F212-49CE-96C1-178D82B107AC}"/>
                  </c:ext>
                </c:extLst>
              </c15:ser>
            </c15:filteredBarSeries>
            <c15:filteredBarSeries>
              <c15: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'Financial Analysis'!$J$18:$J$19</c15:sqref>
                        </c15:formulaRef>
                      </c:ext>
                    </c:extLst>
                    <c:strCache>
                      <c:ptCount val="2"/>
                      <c:pt idx="0">
                        <c:v>IPO Issue Price (2021)</c:v>
                      </c:pt>
                      <c:pt idx="1">
                        <c:v>Current Share Price (2026)</c:v>
                      </c:pt>
                    </c:strCache>
                  </c:strRef>
                </c:cat>
                <c:val>
                  <c:numRef>
                    <c:extLst xmlns:c15="http://schemas.microsoft.com/office/drawing/2012/chart">
                      <c:ext xmlns:c15="http://schemas.microsoft.com/office/drawing/2012/chart" uri="{02D57815-91ED-43cb-92C2-25804820EDAC}">
                        <c15:formulaRef>
                          <c15:sqref>'Financial Analysis'!$L$18:$L$19</c15:sqref>
                        </c15:formulaRef>
                      </c:ext>
                    </c:extLst>
                    <c:numCache>
                      <c:formatCode>General</c:formatCode>
                      <c:ptCount val="2"/>
                    </c:numCache>
                  </c:numRef>
                </c:val>
                <c:extLst>
                  <c:ext xmlns:c16="http://schemas.microsoft.com/office/drawing/2014/chart" uri="{C3380CC4-5D6E-409C-BE32-E72D297353CC}">
                    <c16:uniqueId val="{00000002-F212-49CE-96C1-178D82B107AC}"/>
                  </c:ext>
                </c:extLst>
              </c15:ser>
            </c15:filteredBarSeries>
          </c:ext>
        </c:extLst>
      </c:barChart>
      <c:catAx>
        <c:axId val="74018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crossAx val="740257328"/>
        <c:crosses val="autoZero"/>
        <c:auto val="1"/>
        <c:lblAlgn val="ctr"/>
        <c:lblOffset val="100"/>
        <c:noMultiLvlLbl val="0"/>
      </c:catAx>
      <c:valAx>
        <c:axId val="740257328"/>
        <c:scaling>
          <c:orientation val="minMax"/>
          <c:max val="1300"/>
          <c:min val="0"/>
        </c:scaling>
        <c:delete val="0"/>
        <c:axPos val="l"/>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crossAx val="740185584"/>
        <c:crosses val="autoZero"/>
        <c:crossBetween val="between"/>
        <c:majorUnit val="300"/>
      </c:valAx>
      <c:spPr>
        <a:noFill/>
        <a:ln>
          <a:noFill/>
        </a:ln>
        <a:effectLst/>
      </c:spPr>
    </c:plotArea>
    <c:plotVisOnly val="1"/>
    <c:dispBlanksAs val="gap"/>
    <c:showDLblsOverMax val="0"/>
  </c:chart>
  <c:spPr>
    <a:noFill/>
    <a:ln w="9525" cap="flat" cmpd="sng" algn="ctr">
      <a:noFill/>
      <a:round/>
    </a:ln>
    <a:effectLst/>
  </c:spPr>
  <c:txPr>
    <a:bodyPr/>
    <a:lstStyle/>
    <a:p>
      <a:pPr>
        <a:defRPr sz="1600">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2644</xdr:rowOff>
    </xdr:from>
    <xdr:to>
      <xdr:col>7</xdr:col>
      <xdr:colOff>169334</xdr:colOff>
      <xdr:row>24</xdr:row>
      <xdr:rowOff>197557</xdr:rowOff>
    </xdr:to>
    <xdr:graphicFrame macro="">
      <xdr:nvGraphicFramePr>
        <xdr:cNvPr id="2" name="Chart 1">
          <a:extLst>
            <a:ext uri="{FF2B5EF4-FFF2-40B4-BE49-F238E27FC236}">
              <a16:creationId xmlns:a16="http://schemas.microsoft.com/office/drawing/2014/main" id="{00FD6BE2-9ACA-4FF5-A68F-C7B1C06B8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338665</xdr:colOff>
      <xdr:row>10</xdr:row>
      <xdr:rowOff>119062</xdr:rowOff>
    </xdr:from>
    <xdr:to>
      <xdr:col>13</xdr:col>
      <xdr:colOff>169334</xdr:colOff>
      <xdr:row>24</xdr:row>
      <xdr:rowOff>56444</xdr:rowOff>
    </xdr:to>
    <xdr:graphicFrame macro="">
      <xdr:nvGraphicFramePr>
        <xdr:cNvPr id="3" name="Chart 2">
          <a:extLst>
            <a:ext uri="{FF2B5EF4-FFF2-40B4-BE49-F238E27FC236}">
              <a16:creationId xmlns:a16="http://schemas.microsoft.com/office/drawing/2014/main" id="{DE3DD81A-3828-4620-825C-2A9B14A2E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409222</xdr:colOff>
      <xdr:row>25</xdr:row>
      <xdr:rowOff>155221</xdr:rowOff>
    </xdr:from>
    <xdr:to>
      <xdr:col>6</xdr:col>
      <xdr:colOff>493889</xdr:colOff>
      <xdr:row>39</xdr:row>
      <xdr:rowOff>98777</xdr:rowOff>
    </xdr:to>
    <xdr:graphicFrame macro="">
      <xdr:nvGraphicFramePr>
        <xdr:cNvPr id="4" name="Chart 3">
          <a:extLst>
            <a:ext uri="{FF2B5EF4-FFF2-40B4-BE49-F238E27FC236}">
              <a16:creationId xmlns:a16="http://schemas.microsoft.com/office/drawing/2014/main" id="{5F4B1770-05EB-4AAB-B4FA-268984F02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465666</xdr:colOff>
      <xdr:row>25</xdr:row>
      <xdr:rowOff>84666</xdr:rowOff>
    </xdr:from>
    <xdr:to>
      <xdr:col>12</xdr:col>
      <xdr:colOff>155222</xdr:colOff>
      <xdr:row>40</xdr:row>
      <xdr:rowOff>84665</xdr:rowOff>
    </xdr:to>
    <xdr:graphicFrame macro="">
      <xdr:nvGraphicFramePr>
        <xdr:cNvPr id="5" name="Chart 4">
          <a:extLst>
            <a:ext uri="{FF2B5EF4-FFF2-40B4-BE49-F238E27FC236}">
              <a16:creationId xmlns:a16="http://schemas.microsoft.com/office/drawing/2014/main" id="{DB63C7A0-50E5-4B91-8986-E4933EA9E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112889</xdr:colOff>
      <xdr:row>27</xdr:row>
      <xdr:rowOff>98778</xdr:rowOff>
    </xdr:from>
    <xdr:to>
      <xdr:col>17</xdr:col>
      <xdr:colOff>56445</xdr:colOff>
      <xdr:row>42</xdr:row>
      <xdr:rowOff>56444</xdr:rowOff>
    </xdr:to>
    <xdr:graphicFrame macro="">
      <xdr:nvGraphicFramePr>
        <xdr:cNvPr id="8" name="Chart 7">
          <a:extLst>
            <a:ext uri="{FF2B5EF4-FFF2-40B4-BE49-F238E27FC236}">
              <a16:creationId xmlns:a16="http://schemas.microsoft.com/office/drawing/2014/main" id="{38290670-BC94-4A20-9E77-1CBF11464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83D1-7953-4767-803F-6B235A38B9F7}">
  <dimension ref="B1:L25"/>
  <sheetViews>
    <sheetView zoomScale="75" zoomScaleNormal="75" workbookViewId="0">
      <selection activeCell="M16" sqref="M16"/>
    </sheetView>
  </sheetViews>
  <sheetFormatPr defaultRowHeight="13.8" x14ac:dyDescent="0.25"/>
  <cols>
    <col min="1" max="1" width="2.23046875" style="4" customWidth="1"/>
    <col min="2" max="3" width="10.69140625" style="4" customWidth="1"/>
    <col min="4" max="4" width="11.3828125" style="4" customWidth="1"/>
    <col min="5" max="5" width="2.23046875" style="4" customWidth="1"/>
    <col min="6" max="6" width="13.84375" style="4" customWidth="1"/>
    <col min="7" max="7" width="10.69140625" style="4" customWidth="1"/>
    <col min="8" max="8" width="5.84375" style="4" customWidth="1"/>
    <col min="9" max="9" width="13.23046875" style="4" customWidth="1"/>
    <col min="10" max="10" width="2.23046875" style="4" customWidth="1"/>
    <col min="11" max="11" width="10.69140625" style="4" customWidth="1"/>
    <col min="12" max="12" width="12.84375" style="4" customWidth="1"/>
    <col min="13" max="16384" width="9.23046875" style="4"/>
  </cols>
  <sheetData>
    <row r="1" spans="2:12" ht="10.050000000000001" customHeight="1" thickBot="1" x14ac:dyDescent="0.3"/>
    <row r="2" spans="2:12" x14ac:dyDescent="0.25">
      <c r="B2" s="92" t="s">
        <v>47</v>
      </c>
      <c r="C2" s="93"/>
      <c r="D2" s="93"/>
      <c r="E2" s="93"/>
      <c r="F2" s="93"/>
      <c r="G2" s="93"/>
      <c r="H2" s="93"/>
      <c r="I2" s="93"/>
      <c r="J2" s="93"/>
      <c r="K2" s="93"/>
      <c r="L2" s="94"/>
    </row>
    <row r="3" spans="2:12" ht="14.4" thickBot="1" x14ac:dyDescent="0.3">
      <c r="B3" s="95"/>
      <c r="C3" s="96"/>
      <c r="D3" s="96"/>
      <c r="E3" s="96"/>
      <c r="F3" s="96"/>
      <c r="G3" s="96"/>
      <c r="H3" s="96"/>
      <c r="I3" s="96"/>
      <c r="J3" s="96"/>
      <c r="K3" s="96"/>
      <c r="L3" s="97"/>
    </row>
    <row r="4" spans="2:12" ht="22.2" customHeight="1" thickBot="1" x14ac:dyDescent="0.3">
      <c r="B4" s="98" t="s">
        <v>46</v>
      </c>
      <c r="C4" s="99"/>
      <c r="D4" s="99"/>
      <c r="E4" s="99"/>
      <c r="F4" s="99"/>
      <c r="G4" s="99"/>
      <c r="H4" s="99"/>
      <c r="I4" s="99"/>
      <c r="J4" s="99"/>
      <c r="K4" s="99"/>
      <c r="L4" s="100"/>
    </row>
    <row r="5" spans="2:12" ht="16.8" customHeight="1" thickBot="1" x14ac:dyDescent="0.3">
      <c r="B5" s="20"/>
      <c r="C5" s="21"/>
      <c r="D5" s="154" t="s">
        <v>90</v>
      </c>
      <c r="E5" s="154"/>
      <c r="F5" s="154"/>
      <c r="G5" s="154"/>
      <c r="H5" s="154"/>
      <c r="I5" s="154"/>
      <c r="J5" s="21"/>
      <c r="K5" s="21"/>
      <c r="L5" s="22"/>
    </row>
    <row r="6" spans="2:12" ht="10.050000000000001" customHeight="1" thickBot="1" x14ac:dyDescent="0.3"/>
    <row r="7" spans="2:12" ht="21" thickBot="1" x14ac:dyDescent="0.4">
      <c r="B7" s="197" t="s">
        <v>0</v>
      </c>
      <c r="C7" s="198"/>
      <c r="D7" s="199"/>
      <c r="F7" s="146" t="s">
        <v>11</v>
      </c>
      <c r="G7" s="187"/>
      <c r="H7" s="187"/>
      <c r="I7" s="147"/>
      <c r="K7" s="146" t="s">
        <v>136</v>
      </c>
      <c r="L7" s="147"/>
    </row>
    <row r="8" spans="2:12" ht="25.05" customHeight="1" thickBot="1" x14ac:dyDescent="0.3">
      <c r="B8" s="11" t="s">
        <v>3</v>
      </c>
      <c r="C8" s="210" t="s">
        <v>4</v>
      </c>
      <c r="D8" s="211"/>
      <c r="F8" s="188" t="s">
        <v>49</v>
      </c>
      <c r="G8" s="189"/>
      <c r="H8" s="189"/>
      <c r="I8" s="190"/>
      <c r="K8" s="148" t="s">
        <v>12</v>
      </c>
      <c r="L8" s="149"/>
    </row>
    <row r="9" spans="2:12" ht="25.05" customHeight="1" x14ac:dyDescent="0.25">
      <c r="B9" s="7" t="s">
        <v>1</v>
      </c>
      <c r="C9" s="218" t="s">
        <v>5</v>
      </c>
      <c r="D9" s="219"/>
      <c r="F9" s="191"/>
      <c r="G9" s="192"/>
      <c r="H9" s="192"/>
      <c r="I9" s="193"/>
      <c r="K9" s="150"/>
      <c r="L9" s="151"/>
    </row>
    <row r="10" spans="2:12" ht="25.05" customHeight="1" x14ac:dyDescent="0.25">
      <c r="B10" s="8" t="s">
        <v>2</v>
      </c>
      <c r="C10" s="214" t="s">
        <v>6</v>
      </c>
      <c r="D10" s="215"/>
      <c r="F10" s="191"/>
      <c r="G10" s="192"/>
      <c r="H10" s="192"/>
      <c r="I10" s="193"/>
      <c r="K10" s="150"/>
      <c r="L10" s="151"/>
    </row>
    <row r="11" spans="2:12" ht="25.05" customHeight="1" x14ac:dyDescent="0.25">
      <c r="B11" s="10" t="s">
        <v>10</v>
      </c>
      <c r="C11" s="216" t="s">
        <v>48</v>
      </c>
      <c r="D11" s="217"/>
      <c r="F11" s="191"/>
      <c r="G11" s="192"/>
      <c r="H11" s="192"/>
      <c r="I11" s="193"/>
      <c r="K11" s="150"/>
      <c r="L11" s="151"/>
    </row>
    <row r="12" spans="2:12" ht="25.05" customHeight="1" x14ac:dyDescent="0.25">
      <c r="B12" s="8" t="s">
        <v>7</v>
      </c>
      <c r="C12" s="214" t="s">
        <v>89</v>
      </c>
      <c r="D12" s="215"/>
      <c r="F12" s="191"/>
      <c r="G12" s="192"/>
      <c r="H12" s="192"/>
      <c r="I12" s="193"/>
      <c r="K12" s="150"/>
      <c r="L12" s="151"/>
    </row>
    <row r="13" spans="2:12" ht="25.05" customHeight="1" thickBot="1" x14ac:dyDescent="0.3">
      <c r="B13" s="9" t="s">
        <v>8</v>
      </c>
      <c r="C13" s="212" t="s">
        <v>9</v>
      </c>
      <c r="D13" s="213"/>
      <c r="F13" s="194"/>
      <c r="G13" s="195"/>
      <c r="H13" s="195"/>
      <c r="I13" s="196"/>
      <c r="K13" s="152"/>
      <c r="L13" s="153"/>
    </row>
    <row r="14" spans="2:12" ht="10.050000000000001" customHeight="1" thickBot="1" x14ac:dyDescent="0.3"/>
    <row r="15" spans="2:12" ht="21" thickBot="1" x14ac:dyDescent="0.4">
      <c r="B15" s="197" t="s">
        <v>13</v>
      </c>
      <c r="C15" s="198"/>
      <c r="D15" s="199"/>
      <c r="F15" s="165" t="s">
        <v>15</v>
      </c>
      <c r="G15" s="183"/>
      <c r="H15" s="183"/>
      <c r="I15" s="166"/>
      <c r="K15" s="165" t="s">
        <v>26</v>
      </c>
      <c r="L15" s="166"/>
    </row>
    <row r="16" spans="2:12" ht="25.05" customHeight="1" thickBot="1" x14ac:dyDescent="0.3">
      <c r="B16" s="200" t="s">
        <v>14</v>
      </c>
      <c r="C16" s="201"/>
      <c r="D16" s="202"/>
      <c r="F16" s="186" t="s">
        <v>16</v>
      </c>
      <c r="G16" s="181"/>
      <c r="H16" s="181" t="s">
        <v>17</v>
      </c>
      <c r="I16" s="182"/>
      <c r="K16" s="12" t="s">
        <v>27</v>
      </c>
      <c r="L16" s="13" t="s">
        <v>28</v>
      </c>
    </row>
    <row r="17" spans="2:12" ht="25.05" customHeight="1" x14ac:dyDescent="0.25">
      <c r="B17" s="203"/>
      <c r="C17" s="204"/>
      <c r="D17" s="205"/>
      <c r="F17" s="185" t="s">
        <v>18</v>
      </c>
      <c r="G17" s="179"/>
      <c r="H17" s="179" t="s">
        <v>19</v>
      </c>
      <c r="I17" s="180"/>
      <c r="K17" s="167" t="s">
        <v>29</v>
      </c>
      <c r="L17" s="167" t="s">
        <v>30</v>
      </c>
    </row>
    <row r="18" spans="2:12" ht="25.05" customHeight="1" x14ac:dyDescent="0.25">
      <c r="B18" s="203"/>
      <c r="C18" s="204"/>
      <c r="D18" s="205"/>
      <c r="F18" s="184" t="s">
        <v>20</v>
      </c>
      <c r="G18" s="177"/>
      <c r="H18" s="177" t="s">
        <v>21</v>
      </c>
      <c r="I18" s="178"/>
      <c r="K18" s="168"/>
      <c r="L18" s="168"/>
    </row>
    <row r="19" spans="2:12" ht="25.05" customHeight="1" x14ac:dyDescent="0.25">
      <c r="B19" s="203"/>
      <c r="C19" s="204"/>
      <c r="D19" s="205"/>
      <c r="F19" s="184" t="s">
        <v>22</v>
      </c>
      <c r="G19" s="177"/>
      <c r="H19" s="177" t="s">
        <v>23</v>
      </c>
      <c r="I19" s="178"/>
      <c r="K19" s="168"/>
      <c r="L19" s="168"/>
    </row>
    <row r="20" spans="2:12" ht="25.05" customHeight="1" thickBot="1" x14ac:dyDescent="0.3">
      <c r="B20" s="206"/>
      <c r="C20" s="207"/>
      <c r="D20" s="208"/>
      <c r="F20" s="209" t="s">
        <v>24</v>
      </c>
      <c r="G20" s="175"/>
      <c r="H20" s="175" t="s">
        <v>25</v>
      </c>
      <c r="I20" s="176"/>
      <c r="K20" s="169"/>
      <c r="L20" s="169"/>
    </row>
    <row r="21" spans="2:12" ht="10.050000000000001" customHeight="1" thickBot="1" x14ac:dyDescent="0.3">
      <c r="B21" s="5"/>
      <c r="C21" s="5"/>
      <c r="D21" s="5"/>
    </row>
    <row r="22" spans="2:12" ht="29.4" customHeight="1" thickBot="1" x14ac:dyDescent="0.3">
      <c r="B22" s="170" t="s">
        <v>31</v>
      </c>
      <c r="C22" s="171"/>
      <c r="D22" s="172" t="s">
        <v>32</v>
      </c>
      <c r="E22" s="173"/>
      <c r="F22" s="173"/>
      <c r="G22" s="173"/>
      <c r="H22" s="173"/>
      <c r="I22" s="173"/>
      <c r="J22" s="173"/>
      <c r="K22" s="173"/>
      <c r="L22" s="174"/>
    </row>
    <row r="23" spans="2:12" ht="10.050000000000001" customHeight="1" thickBot="1" x14ac:dyDescent="0.3"/>
    <row r="24" spans="2:12" s="6" customFormat="1" ht="25.05" customHeight="1" x14ac:dyDescent="0.25">
      <c r="B24" s="155" t="s">
        <v>33</v>
      </c>
      <c r="C24" s="156"/>
      <c r="D24" s="161" t="s">
        <v>34</v>
      </c>
      <c r="E24" s="162"/>
      <c r="F24" s="14" t="s">
        <v>36</v>
      </c>
      <c r="G24" s="164" t="s">
        <v>38</v>
      </c>
      <c r="H24" s="164"/>
      <c r="I24" s="164" t="s">
        <v>40</v>
      </c>
      <c r="J24" s="164"/>
      <c r="K24" s="15" t="s">
        <v>42</v>
      </c>
      <c r="L24" s="16" t="s">
        <v>43</v>
      </c>
    </row>
    <row r="25" spans="2:12" s="6" customFormat="1" ht="25.05" customHeight="1" thickBot="1" x14ac:dyDescent="0.3">
      <c r="B25" s="157"/>
      <c r="C25" s="158"/>
      <c r="D25" s="159" t="s">
        <v>35</v>
      </c>
      <c r="E25" s="160"/>
      <c r="F25" s="17" t="s">
        <v>37</v>
      </c>
      <c r="G25" s="163" t="s">
        <v>39</v>
      </c>
      <c r="H25" s="163"/>
      <c r="I25" s="163" t="s">
        <v>41</v>
      </c>
      <c r="J25" s="163"/>
      <c r="K25" s="18" t="s">
        <v>45</v>
      </c>
      <c r="L25" s="19" t="s">
        <v>44</v>
      </c>
    </row>
  </sheetData>
  <mergeCells count="39">
    <mergeCell ref="B16:D20"/>
    <mergeCell ref="F20:G20"/>
    <mergeCell ref="C8:D8"/>
    <mergeCell ref="B7:D7"/>
    <mergeCell ref="C13:D13"/>
    <mergeCell ref="C12:D12"/>
    <mergeCell ref="C11:D11"/>
    <mergeCell ref="C10:D10"/>
    <mergeCell ref="C9:D9"/>
    <mergeCell ref="F7:I7"/>
    <mergeCell ref="F8:I13"/>
    <mergeCell ref="K7:L7"/>
    <mergeCell ref="K8:L13"/>
    <mergeCell ref="B15:D15"/>
    <mergeCell ref="H19:I19"/>
    <mergeCell ref="H18:I18"/>
    <mergeCell ref="H17:I17"/>
    <mergeCell ref="H16:I16"/>
    <mergeCell ref="F15:I15"/>
    <mergeCell ref="F19:G19"/>
    <mergeCell ref="F18:G18"/>
    <mergeCell ref="F17:G17"/>
    <mergeCell ref="F16:G16"/>
    <mergeCell ref="B2:L3"/>
    <mergeCell ref="B4:L4"/>
    <mergeCell ref="D5:I5"/>
    <mergeCell ref="B24:C25"/>
    <mergeCell ref="D25:E25"/>
    <mergeCell ref="D24:E24"/>
    <mergeCell ref="I25:J25"/>
    <mergeCell ref="I24:J24"/>
    <mergeCell ref="G25:H25"/>
    <mergeCell ref="G24:H24"/>
    <mergeCell ref="K15:L15"/>
    <mergeCell ref="K17:K20"/>
    <mergeCell ref="L17:L20"/>
    <mergeCell ref="B22:C22"/>
    <mergeCell ref="D22:L22"/>
    <mergeCell ref="H20:I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DE87E-E191-45BB-AE18-63E32D2B1847}">
  <dimension ref="B1:K48"/>
  <sheetViews>
    <sheetView zoomScale="62" zoomScaleNormal="40" workbookViewId="0">
      <selection activeCell="K26" sqref="K26"/>
    </sheetView>
  </sheetViews>
  <sheetFormatPr defaultRowHeight="16.8" x14ac:dyDescent="0.25"/>
  <cols>
    <col min="1" max="1" width="2.23046875" style="3" customWidth="1"/>
    <col min="2" max="2" width="27.53515625" style="3" customWidth="1"/>
    <col min="3" max="7" width="10.69140625" style="3" customWidth="1"/>
    <col min="8" max="8" width="2.23046875" style="3" customWidth="1"/>
    <col min="9" max="10" width="9.23046875" style="3"/>
    <col min="11" max="17" width="15.69140625" style="3" customWidth="1"/>
    <col min="18" max="16384" width="9.23046875" style="3"/>
  </cols>
  <sheetData>
    <row r="1" spans="2:11" ht="10.050000000000001" customHeight="1" thickBot="1" x14ac:dyDescent="0.3"/>
    <row r="2" spans="2:11" ht="16.8" customHeight="1" x14ac:dyDescent="0.25">
      <c r="B2" s="92" t="s">
        <v>47</v>
      </c>
      <c r="C2" s="93"/>
      <c r="D2" s="93"/>
      <c r="E2" s="93"/>
      <c r="F2" s="93"/>
      <c r="G2" s="93"/>
      <c r="H2" s="93"/>
      <c r="I2" s="93"/>
      <c r="J2" s="94"/>
    </row>
    <row r="3" spans="2:11" ht="17.399999999999999" customHeight="1" thickBot="1" x14ac:dyDescent="0.3">
      <c r="B3" s="95"/>
      <c r="C3" s="96"/>
      <c r="D3" s="96"/>
      <c r="E3" s="96"/>
      <c r="F3" s="96"/>
      <c r="G3" s="96"/>
      <c r="H3" s="96"/>
      <c r="I3" s="96"/>
      <c r="J3" s="97"/>
    </row>
    <row r="4" spans="2:11" ht="24" customHeight="1" thickBot="1" x14ac:dyDescent="0.3">
      <c r="B4" s="98" t="s">
        <v>95</v>
      </c>
      <c r="C4" s="99"/>
      <c r="D4" s="99"/>
      <c r="E4" s="99"/>
      <c r="F4" s="99"/>
      <c r="G4" s="99"/>
      <c r="H4" s="99"/>
      <c r="I4" s="99"/>
      <c r="J4" s="100"/>
    </row>
    <row r="5" spans="2:11" ht="10.050000000000001" customHeight="1" thickBot="1" x14ac:dyDescent="0.3">
      <c r="H5" s="23"/>
      <c r="I5" s="23"/>
      <c r="J5" s="23"/>
      <c r="K5" s="23"/>
    </row>
    <row r="6" spans="2:11" ht="19.2" thickBot="1" x14ac:dyDescent="0.3">
      <c r="B6" s="227" t="s">
        <v>87</v>
      </c>
      <c r="C6" s="228"/>
      <c r="D6" s="228"/>
      <c r="E6" s="228"/>
      <c r="F6" s="228"/>
      <c r="G6" s="228"/>
      <c r="H6" s="228"/>
      <c r="I6" s="228"/>
      <c r="J6" s="229"/>
      <c r="K6" s="23"/>
    </row>
    <row r="7" spans="2:11" ht="10.050000000000001" customHeight="1" thickBot="1" x14ac:dyDescent="0.3"/>
    <row r="8" spans="2:11" s="36" customFormat="1" ht="34.950000000000003" customHeight="1" thickBot="1" x14ac:dyDescent="0.5">
      <c r="B8" s="230" t="s">
        <v>61</v>
      </c>
      <c r="C8" s="231"/>
      <c r="D8" s="231"/>
      <c r="E8" s="231"/>
      <c r="F8" s="231"/>
      <c r="G8" s="232"/>
      <c r="I8" s="220" t="s">
        <v>99</v>
      </c>
      <c r="J8" s="221"/>
    </row>
    <row r="9" spans="2:11" s="34" customFormat="1" ht="30" customHeight="1" thickBot="1" x14ac:dyDescent="0.4">
      <c r="B9" s="26" t="s">
        <v>50</v>
      </c>
      <c r="C9" s="27" t="s">
        <v>82</v>
      </c>
      <c r="D9" s="27" t="s">
        <v>83</v>
      </c>
      <c r="E9" s="27" t="s">
        <v>84</v>
      </c>
      <c r="F9" s="28" t="s">
        <v>85</v>
      </c>
      <c r="G9" s="29" t="s">
        <v>88</v>
      </c>
      <c r="I9" s="222"/>
      <c r="J9" s="223"/>
    </row>
    <row r="10" spans="2:11" ht="30" customHeight="1" x14ac:dyDescent="0.25">
      <c r="B10" s="44" t="s">
        <v>55</v>
      </c>
      <c r="C10" s="47">
        <v>3774</v>
      </c>
      <c r="D10" s="47">
        <v>5144</v>
      </c>
      <c r="E10" s="47">
        <v>6386</v>
      </c>
      <c r="F10" s="47">
        <v>7950</v>
      </c>
      <c r="G10" s="48">
        <v>10022</v>
      </c>
      <c r="I10" s="222"/>
      <c r="J10" s="223"/>
    </row>
    <row r="11" spans="2:11" ht="30" customHeight="1" x14ac:dyDescent="0.25">
      <c r="B11" s="38" t="s">
        <v>56</v>
      </c>
      <c r="C11" s="49">
        <v>27</v>
      </c>
      <c r="D11" s="49">
        <v>30</v>
      </c>
      <c r="E11" s="49">
        <v>30</v>
      </c>
      <c r="F11" s="49">
        <v>27</v>
      </c>
      <c r="G11" s="50">
        <v>15</v>
      </c>
      <c r="I11" s="222"/>
      <c r="J11" s="223"/>
    </row>
    <row r="12" spans="2:11" ht="30" customHeight="1" x14ac:dyDescent="0.25">
      <c r="B12" s="39" t="s">
        <v>57</v>
      </c>
      <c r="C12" s="51">
        <v>3801</v>
      </c>
      <c r="D12" s="51">
        <v>5174</v>
      </c>
      <c r="E12" s="51">
        <v>6416</v>
      </c>
      <c r="F12" s="51">
        <v>7977</v>
      </c>
      <c r="G12" s="52">
        <v>10037</v>
      </c>
      <c r="I12" s="222"/>
      <c r="J12" s="223"/>
    </row>
    <row r="13" spans="2:11" ht="30" customHeight="1" thickBot="1" x14ac:dyDescent="0.3">
      <c r="B13" s="38" t="s">
        <v>100</v>
      </c>
      <c r="C13" s="49">
        <v>190.23</v>
      </c>
      <c r="D13" s="49">
        <v>286.26</v>
      </c>
      <c r="E13" s="49">
        <v>376.09</v>
      </c>
      <c r="F13" s="49">
        <v>501.17</v>
      </c>
      <c r="G13" s="50" t="s">
        <v>91</v>
      </c>
      <c r="I13" s="224"/>
      <c r="J13" s="225"/>
    </row>
    <row r="14" spans="2:11" ht="30" customHeight="1" x14ac:dyDescent="0.25">
      <c r="B14" s="38" t="s">
        <v>92</v>
      </c>
      <c r="C14" s="49">
        <v>164</v>
      </c>
      <c r="D14" s="49">
        <v>257</v>
      </c>
      <c r="E14" s="49">
        <v>347</v>
      </c>
      <c r="F14" s="49">
        <v>475</v>
      </c>
      <c r="G14" s="50">
        <v>752</v>
      </c>
    </row>
    <row r="15" spans="2:11" ht="30" customHeight="1" x14ac:dyDescent="0.25">
      <c r="B15" s="38" t="s">
        <v>58</v>
      </c>
      <c r="C15" s="49">
        <v>47</v>
      </c>
      <c r="D15" s="49">
        <v>76</v>
      </c>
      <c r="E15" s="49">
        <v>84</v>
      </c>
      <c r="F15" s="49">
        <v>108</v>
      </c>
      <c r="G15" s="50">
        <v>117</v>
      </c>
    </row>
    <row r="16" spans="2:11" ht="30" customHeight="1" x14ac:dyDescent="0.25">
      <c r="B16" s="38" t="s">
        <v>59</v>
      </c>
      <c r="C16" s="49">
        <v>96</v>
      </c>
      <c r="D16" s="49">
        <v>173</v>
      </c>
      <c r="E16" s="49">
        <v>224</v>
      </c>
      <c r="F16" s="49">
        <v>266</v>
      </c>
      <c r="G16" s="50">
        <v>320</v>
      </c>
    </row>
    <row r="17" spans="2:7" ht="30" customHeight="1" x14ac:dyDescent="0.25">
      <c r="B17" s="38" t="s">
        <v>93</v>
      </c>
      <c r="C17" s="49">
        <v>47</v>
      </c>
      <c r="D17" s="49">
        <v>38</v>
      </c>
      <c r="E17" s="49">
        <v>69</v>
      </c>
      <c r="F17" s="49">
        <v>127</v>
      </c>
      <c r="G17" s="50">
        <v>330</v>
      </c>
    </row>
    <row r="18" spans="2:7" ht="30" customHeight="1" x14ac:dyDescent="0.25">
      <c r="B18" s="38" t="s">
        <v>60</v>
      </c>
      <c r="C18" s="49">
        <v>41</v>
      </c>
      <c r="D18" s="49">
        <v>21</v>
      </c>
      <c r="E18" s="49">
        <v>40</v>
      </c>
      <c r="F18" s="49">
        <v>72</v>
      </c>
      <c r="G18" s="50">
        <v>204</v>
      </c>
    </row>
    <row r="19" spans="2:7" ht="30" customHeight="1" thickBot="1" x14ac:dyDescent="0.3">
      <c r="B19" s="40" t="s">
        <v>94</v>
      </c>
      <c r="C19" s="53">
        <v>0.14000000000000001</v>
      </c>
      <c r="D19" s="53">
        <v>7.0000000000000007E-2</v>
      </c>
      <c r="E19" s="53">
        <v>0.11</v>
      </c>
      <c r="F19" s="53">
        <v>0.23</v>
      </c>
      <c r="G19" s="54">
        <v>0.7</v>
      </c>
    </row>
    <row r="20" spans="2:7" ht="30" customHeight="1" x14ac:dyDescent="0.25">
      <c r="B20" s="226" t="s">
        <v>101</v>
      </c>
      <c r="C20" s="226"/>
      <c r="D20" s="226"/>
      <c r="E20" s="226"/>
      <c r="F20" s="226"/>
      <c r="G20" s="226"/>
    </row>
    <row r="21" spans="2:7" ht="10.050000000000001" customHeight="1" thickBot="1" x14ac:dyDescent="0.3"/>
    <row r="22" spans="2:7" s="36" customFormat="1" ht="34.950000000000003" customHeight="1" thickBot="1" x14ac:dyDescent="0.5">
      <c r="B22" s="230" t="s">
        <v>62</v>
      </c>
      <c r="C22" s="231"/>
      <c r="D22" s="231"/>
      <c r="E22" s="231"/>
      <c r="F22" s="231"/>
      <c r="G22" s="232"/>
    </row>
    <row r="23" spans="2:7" s="34" customFormat="1" ht="30" customHeight="1" thickBot="1" x14ac:dyDescent="0.4">
      <c r="B23" s="33" t="s">
        <v>50</v>
      </c>
      <c r="C23" s="30" t="s">
        <v>82</v>
      </c>
      <c r="D23" s="30" t="s">
        <v>83</v>
      </c>
      <c r="E23" s="30" t="s">
        <v>84</v>
      </c>
      <c r="F23" s="31" t="s">
        <v>85</v>
      </c>
      <c r="G23" s="32" t="s">
        <v>88</v>
      </c>
    </row>
    <row r="24" spans="2:7" ht="30" customHeight="1" x14ac:dyDescent="0.25">
      <c r="B24" s="37" t="s">
        <v>63</v>
      </c>
      <c r="C24" s="55">
        <v>267</v>
      </c>
      <c r="D24" s="55">
        <v>149</v>
      </c>
      <c r="E24" s="55">
        <v>240</v>
      </c>
      <c r="F24" s="55">
        <v>217</v>
      </c>
      <c r="G24" s="56" t="s">
        <v>91</v>
      </c>
    </row>
    <row r="25" spans="2:7" ht="30" customHeight="1" x14ac:dyDescent="0.25">
      <c r="B25" s="38" t="s">
        <v>65</v>
      </c>
      <c r="C25" s="49">
        <v>95</v>
      </c>
      <c r="D25" s="49">
        <v>164</v>
      </c>
      <c r="E25" s="49">
        <v>242</v>
      </c>
      <c r="F25" s="49">
        <v>247</v>
      </c>
      <c r="G25" s="50" t="s">
        <v>91</v>
      </c>
    </row>
    <row r="26" spans="2:7" ht="30" customHeight="1" x14ac:dyDescent="0.25">
      <c r="B26" s="38" t="s">
        <v>64</v>
      </c>
      <c r="C26" s="49">
        <v>876</v>
      </c>
      <c r="D26" s="49">
        <v>1005</v>
      </c>
      <c r="E26" s="49">
        <v>1192</v>
      </c>
      <c r="F26" s="49">
        <v>1418</v>
      </c>
      <c r="G26" s="50" t="s">
        <v>91</v>
      </c>
    </row>
    <row r="27" spans="2:7" ht="30" customHeight="1" x14ac:dyDescent="0.25">
      <c r="B27" s="38" t="s">
        <v>66</v>
      </c>
      <c r="C27" s="49">
        <v>690</v>
      </c>
      <c r="D27" s="49">
        <v>588</v>
      </c>
      <c r="E27" s="49">
        <v>620</v>
      </c>
      <c r="F27" s="49">
        <v>796</v>
      </c>
      <c r="G27" s="50" t="s">
        <v>91</v>
      </c>
    </row>
    <row r="28" spans="2:7" ht="30" customHeight="1" x14ac:dyDescent="0.25">
      <c r="B28" s="39" t="s">
        <v>96</v>
      </c>
      <c r="C28" s="51">
        <v>1927</v>
      </c>
      <c r="D28" s="51">
        <v>1906</v>
      </c>
      <c r="E28" s="51">
        <v>2293</v>
      </c>
      <c r="F28" s="51">
        <v>2677</v>
      </c>
      <c r="G28" s="50" t="s">
        <v>91</v>
      </c>
    </row>
    <row r="29" spans="2:7" ht="30" customHeight="1" x14ac:dyDescent="0.25">
      <c r="B29" s="38" t="s">
        <v>67</v>
      </c>
      <c r="C29" s="49">
        <v>382</v>
      </c>
      <c r="D29" s="49">
        <v>545</v>
      </c>
      <c r="E29" s="49">
        <v>503</v>
      </c>
      <c r="F29" s="49">
        <v>605</v>
      </c>
      <c r="G29" s="50" t="s">
        <v>91</v>
      </c>
    </row>
    <row r="30" spans="2:7" ht="30" customHeight="1" x14ac:dyDescent="0.25">
      <c r="B30" s="38" t="s">
        <v>97</v>
      </c>
      <c r="C30" s="49">
        <v>719</v>
      </c>
      <c r="D30" s="49">
        <v>1044</v>
      </c>
      <c r="E30" s="49">
        <v>1108</v>
      </c>
      <c r="F30" s="49">
        <v>1302</v>
      </c>
      <c r="G30" s="50" t="s">
        <v>91</v>
      </c>
    </row>
    <row r="31" spans="2:7" ht="30" customHeight="1" x14ac:dyDescent="0.25">
      <c r="B31" s="39" t="s">
        <v>68</v>
      </c>
      <c r="C31" s="51">
        <v>2646</v>
      </c>
      <c r="D31" s="51">
        <v>2950</v>
      </c>
      <c r="E31" s="51">
        <v>3401</v>
      </c>
      <c r="F31" s="51">
        <v>3980</v>
      </c>
      <c r="G31" s="52">
        <v>4611</v>
      </c>
    </row>
    <row r="32" spans="2:7" ht="30" customHeight="1" x14ac:dyDescent="0.25">
      <c r="B32" s="38" t="s">
        <v>69</v>
      </c>
      <c r="C32" s="49">
        <v>362</v>
      </c>
      <c r="D32" s="49">
        <v>265</v>
      </c>
      <c r="E32" s="49">
        <v>387</v>
      </c>
      <c r="F32" s="49">
        <v>635</v>
      </c>
      <c r="G32" s="50" t="s">
        <v>91</v>
      </c>
    </row>
    <row r="33" spans="2:7" ht="30" customHeight="1" x14ac:dyDescent="0.25">
      <c r="B33" s="38" t="s">
        <v>70</v>
      </c>
      <c r="C33" s="49">
        <v>593</v>
      </c>
      <c r="D33" s="49">
        <v>798</v>
      </c>
      <c r="E33" s="49">
        <v>969</v>
      </c>
      <c r="F33" s="49">
        <v>1321</v>
      </c>
      <c r="G33" s="50">
        <v>1238</v>
      </c>
    </row>
    <row r="34" spans="2:7" ht="30" customHeight="1" x14ac:dyDescent="0.25">
      <c r="B34" s="38" t="s">
        <v>71</v>
      </c>
      <c r="C34" s="49">
        <v>714</v>
      </c>
      <c r="D34" s="49">
        <v>773</v>
      </c>
      <c r="E34" s="49">
        <v>1169</v>
      </c>
      <c r="F34" s="49">
        <v>1358</v>
      </c>
      <c r="G34" s="50">
        <v>1936</v>
      </c>
    </row>
    <row r="35" spans="2:7" ht="30" customHeight="1" x14ac:dyDescent="0.25">
      <c r="B35" s="39" t="s">
        <v>72</v>
      </c>
      <c r="C35" s="51">
        <v>2646</v>
      </c>
      <c r="D35" s="51">
        <v>2950</v>
      </c>
      <c r="E35" s="51">
        <v>3401</v>
      </c>
      <c r="F35" s="51">
        <v>3980</v>
      </c>
      <c r="G35" s="52">
        <v>4611</v>
      </c>
    </row>
    <row r="36" spans="2:7" ht="30" customHeight="1" x14ac:dyDescent="0.25">
      <c r="B36" s="38" t="s">
        <v>73</v>
      </c>
      <c r="C36" s="49">
        <v>47</v>
      </c>
      <c r="D36" s="49">
        <v>285</v>
      </c>
      <c r="E36" s="49">
        <v>286</v>
      </c>
      <c r="F36" s="49">
        <v>286</v>
      </c>
      <c r="G36" s="50">
        <v>286</v>
      </c>
    </row>
    <row r="37" spans="2:7" ht="30" customHeight="1" x14ac:dyDescent="0.25">
      <c r="B37" s="77" t="s">
        <v>98</v>
      </c>
      <c r="C37" s="78">
        <v>1292</v>
      </c>
      <c r="D37" s="78">
        <v>1093</v>
      </c>
      <c r="E37" s="78">
        <v>977</v>
      </c>
      <c r="F37" s="78">
        <v>1015</v>
      </c>
      <c r="G37" s="79">
        <v>1152</v>
      </c>
    </row>
    <row r="38" spans="2:7" ht="30" customHeight="1" thickBot="1" x14ac:dyDescent="0.3">
      <c r="B38" s="80" t="s">
        <v>74</v>
      </c>
      <c r="C38" s="81">
        <f>C36+C37</f>
        <v>1339</v>
      </c>
      <c r="D38" s="81">
        <f t="shared" ref="D38:G38" si="0">D36+D37</f>
        <v>1378</v>
      </c>
      <c r="E38" s="81">
        <f t="shared" si="0"/>
        <v>1263</v>
      </c>
      <c r="F38" s="81">
        <f t="shared" si="0"/>
        <v>1301</v>
      </c>
      <c r="G38" s="57">
        <f t="shared" si="0"/>
        <v>1438</v>
      </c>
    </row>
    <row r="39" spans="2:7" ht="10.050000000000001" customHeight="1" thickBot="1" x14ac:dyDescent="0.3"/>
    <row r="40" spans="2:7" s="36" customFormat="1" ht="34.950000000000003" customHeight="1" thickBot="1" x14ac:dyDescent="0.5">
      <c r="B40" s="230" t="s">
        <v>75</v>
      </c>
      <c r="C40" s="231"/>
      <c r="D40" s="231"/>
      <c r="E40" s="231"/>
      <c r="F40" s="231"/>
      <c r="G40" s="232"/>
    </row>
    <row r="41" spans="2:7" s="34" customFormat="1" ht="30" customHeight="1" thickBot="1" x14ac:dyDescent="0.4">
      <c r="B41" s="33" t="s">
        <v>50</v>
      </c>
      <c r="C41" s="30" t="s">
        <v>82</v>
      </c>
      <c r="D41" s="30" t="s">
        <v>83</v>
      </c>
      <c r="E41" s="30" t="s">
        <v>84</v>
      </c>
      <c r="F41" s="31" t="s">
        <v>85</v>
      </c>
      <c r="G41" s="32" t="s">
        <v>88</v>
      </c>
    </row>
    <row r="42" spans="2:7" ht="30" customHeight="1" x14ac:dyDescent="0.25">
      <c r="B42" s="41" t="s">
        <v>80</v>
      </c>
      <c r="C42" s="58">
        <v>67</v>
      </c>
      <c r="D42" s="58">
        <v>37</v>
      </c>
      <c r="E42" s="58">
        <v>41</v>
      </c>
      <c r="F42" s="58">
        <v>76</v>
      </c>
      <c r="G42" s="59">
        <v>125</v>
      </c>
    </row>
    <row r="43" spans="2:7" ht="40.049999999999997" customHeight="1" x14ac:dyDescent="0.25">
      <c r="B43" s="38" t="s">
        <v>76</v>
      </c>
      <c r="C43" s="74">
        <v>-354</v>
      </c>
      <c r="D43" s="74">
        <v>-140</v>
      </c>
      <c r="E43" s="74">
        <v>0</v>
      </c>
      <c r="F43" s="74">
        <v>467</v>
      </c>
      <c r="G43" s="73">
        <v>644</v>
      </c>
    </row>
    <row r="44" spans="2:7" ht="40.049999999999997" customHeight="1" x14ac:dyDescent="0.25">
      <c r="B44" s="38" t="s">
        <v>77</v>
      </c>
      <c r="C44" s="74">
        <v>-603</v>
      </c>
      <c r="D44" s="74">
        <v>140</v>
      </c>
      <c r="E44" s="74">
        <v>-10</v>
      </c>
      <c r="F44" s="74">
        <v>-205</v>
      </c>
      <c r="G44" s="73">
        <v>-159</v>
      </c>
    </row>
    <row r="45" spans="2:7" ht="40.049999999999997" customHeight="1" x14ac:dyDescent="0.25">
      <c r="B45" s="38" t="s">
        <v>78</v>
      </c>
      <c r="C45" s="74">
        <v>927</v>
      </c>
      <c r="D45" s="74">
        <v>5</v>
      </c>
      <c r="E45" s="74">
        <v>44</v>
      </c>
      <c r="F45" s="74">
        <v>-212</v>
      </c>
      <c r="G45" s="73">
        <v>-433</v>
      </c>
    </row>
    <row r="46" spans="2:7" ht="40.049999999999997" customHeight="1" x14ac:dyDescent="0.25">
      <c r="B46" s="38" t="s">
        <v>79</v>
      </c>
      <c r="C46" s="74">
        <v>-30</v>
      </c>
      <c r="D46" s="74">
        <v>4</v>
      </c>
      <c r="E46" s="74">
        <v>34</v>
      </c>
      <c r="F46" s="74">
        <v>49</v>
      </c>
      <c r="G46" s="73">
        <v>52</v>
      </c>
    </row>
    <row r="47" spans="2:7" ht="30" customHeight="1" x14ac:dyDescent="0.25">
      <c r="B47" s="42" t="s">
        <v>81</v>
      </c>
      <c r="C47" s="60">
        <v>37</v>
      </c>
      <c r="D47" s="60">
        <v>41</v>
      </c>
      <c r="E47" s="60">
        <v>76</v>
      </c>
      <c r="F47" s="60">
        <v>125</v>
      </c>
      <c r="G47" s="61" t="s">
        <v>91</v>
      </c>
    </row>
    <row r="48" spans="2:7" ht="30" customHeight="1" thickBot="1" x14ac:dyDescent="0.3">
      <c r="B48" s="43" t="s">
        <v>86</v>
      </c>
      <c r="C48" s="62">
        <v>-448</v>
      </c>
      <c r="D48" s="62">
        <v>-348</v>
      </c>
      <c r="E48" s="62">
        <v>-110</v>
      </c>
      <c r="F48" s="62">
        <v>339</v>
      </c>
      <c r="G48" s="63">
        <v>493</v>
      </c>
    </row>
  </sheetData>
  <mergeCells count="8">
    <mergeCell ref="B22:G22"/>
    <mergeCell ref="B40:G40"/>
    <mergeCell ref="I8:J13"/>
    <mergeCell ref="B2:J3"/>
    <mergeCell ref="B4:J4"/>
    <mergeCell ref="B20:G20"/>
    <mergeCell ref="B6:J6"/>
    <mergeCell ref="B8:G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8EDA-2FF6-414E-8D2D-8AF0B5F16BAB}">
  <dimension ref="B1:AF23"/>
  <sheetViews>
    <sheetView topLeftCell="X1" zoomScale="65" workbookViewId="0">
      <selection activeCell="AE15" sqref="AE15"/>
    </sheetView>
  </sheetViews>
  <sheetFormatPr defaultRowHeight="16.8" x14ac:dyDescent="0.25"/>
  <cols>
    <col min="1" max="1" width="2.15234375" style="69" customWidth="1"/>
    <col min="2" max="3" width="9.23046875" style="69"/>
    <col min="4" max="5" width="11" style="69" bestFit="1" customWidth="1"/>
    <col min="6" max="8" width="9.23046875" style="69"/>
    <col min="9" max="9" width="1.765625" style="69" customWidth="1"/>
    <col min="10" max="12" width="9.23046875" style="69"/>
    <col min="13" max="13" width="11.921875" style="69" bestFit="1" customWidth="1"/>
    <col min="14" max="14" width="2" style="69" customWidth="1"/>
    <col min="15" max="16384" width="9.23046875" style="69"/>
  </cols>
  <sheetData>
    <row r="1" spans="2:32" ht="17.399999999999999" thickBot="1" x14ac:dyDescent="0.3"/>
    <row r="2" spans="2:32" ht="16.8" customHeight="1" x14ac:dyDescent="0.25">
      <c r="B2" s="92" t="s">
        <v>47</v>
      </c>
      <c r="C2" s="93"/>
      <c r="D2" s="93"/>
      <c r="E2" s="93"/>
      <c r="F2" s="93"/>
      <c r="G2" s="93"/>
      <c r="H2" s="93"/>
      <c r="I2" s="93"/>
      <c r="J2" s="93"/>
      <c r="K2" s="93"/>
      <c r="L2" s="93"/>
      <c r="M2" s="94"/>
    </row>
    <row r="3" spans="2:32" ht="17.399999999999999" customHeight="1" thickBot="1" x14ac:dyDescent="0.3">
      <c r="B3" s="95"/>
      <c r="C3" s="96"/>
      <c r="D3" s="96"/>
      <c r="E3" s="96"/>
      <c r="F3" s="96"/>
      <c r="G3" s="96"/>
      <c r="H3" s="96"/>
      <c r="I3" s="96"/>
      <c r="J3" s="96"/>
      <c r="K3" s="96"/>
      <c r="L3" s="96"/>
      <c r="M3" s="97"/>
    </row>
    <row r="4" spans="2:32" ht="19.2" thickBot="1" x14ac:dyDescent="0.3">
      <c r="B4" s="98" t="s">
        <v>102</v>
      </c>
      <c r="C4" s="99"/>
      <c r="D4" s="99"/>
      <c r="E4" s="99"/>
      <c r="F4" s="99"/>
      <c r="G4" s="99"/>
      <c r="H4" s="99"/>
      <c r="I4" s="99"/>
      <c r="J4" s="99"/>
      <c r="K4" s="99"/>
      <c r="L4" s="99"/>
      <c r="M4" s="100"/>
    </row>
    <row r="5" spans="2:32" ht="25.05" customHeight="1" thickBot="1" x14ac:dyDescent="0.3">
      <c r="AA5" s="1" t="s">
        <v>129</v>
      </c>
      <c r="AB5" s="1" t="s">
        <v>18</v>
      </c>
      <c r="AD5" s="1" t="s">
        <v>129</v>
      </c>
      <c r="AE5" s="25" t="s">
        <v>131</v>
      </c>
      <c r="AF5" s="25" t="s">
        <v>132</v>
      </c>
    </row>
    <row r="6" spans="2:32" ht="24" thickBot="1" x14ac:dyDescent="0.3">
      <c r="B6" s="256" t="s">
        <v>116</v>
      </c>
      <c r="C6" s="257"/>
      <c r="D6" s="257"/>
      <c r="E6" s="257"/>
      <c r="F6" s="257"/>
      <c r="G6" s="257"/>
      <c r="H6" s="258"/>
      <c r="J6" s="237" t="s">
        <v>119</v>
      </c>
      <c r="K6" s="238"/>
      <c r="L6" s="238"/>
      <c r="M6" s="239"/>
      <c r="AA6" s="2" t="s">
        <v>52</v>
      </c>
      <c r="AB6" s="89">
        <v>0.36299999999999999</v>
      </c>
      <c r="AD6" s="2" t="s">
        <v>51</v>
      </c>
      <c r="AE6" s="24">
        <v>-354</v>
      </c>
      <c r="AF6" s="24">
        <v>-448</v>
      </c>
    </row>
    <row r="7" spans="2:32" s="70" customFormat="1" ht="30" customHeight="1" thickBot="1" x14ac:dyDescent="0.3">
      <c r="B7" s="255" t="s">
        <v>103</v>
      </c>
      <c r="C7" s="144"/>
      <c r="D7" s="64" t="s">
        <v>51</v>
      </c>
      <c r="E7" s="64" t="s">
        <v>52</v>
      </c>
      <c r="F7" s="64" t="s">
        <v>53</v>
      </c>
      <c r="G7" s="64" t="s">
        <v>54</v>
      </c>
      <c r="H7" s="65" t="s">
        <v>104</v>
      </c>
      <c r="J7" s="233" t="s">
        <v>111</v>
      </c>
      <c r="K7" s="234"/>
      <c r="L7" s="235" t="s">
        <v>112</v>
      </c>
      <c r="M7" s="236"/>
      <c r="AA7" s="2" t="s">
        <v>53</v>
      </c>
      <c r="AB7" s="89">
        <v>0.2414</v>
      </c>
      <c r="AD7" s="2" t="s">
        <v>52</v>
      </c>
      <c r="AE7" s="24">
        <v>-140</v>
      </c>
      <c r="AF7" s="24">
        <v>-348</v>
      </c>
    </row>
    <row r="8" spans="2:32" s="71" customFormat="1" ht="25.05" customHeight="1" thickBot="1" x14ac:dyDescent="0.3">
      <c r="B8" s="251" t="s">
        <v>105</v>
      </c>
      <c r="C8" s="252"/>
      <c r="D8" s="66" t="s">
        <v>123</v>
      </c>
      <c r="E8" s="66">
        <f>('Financial Data'!D10-'Financial Data'!C10)/'Financial Data'!C10</f>
        <v>0.36301006889242182</v>
      </c>
      <c r="F8" s="66">
        <f>('Financial Data'!E10-'Financial Data'!D10)/'Financial Data'!D10</f>
        <v>0.24144634525660963</v>
      </c>
      <c r="G8" s="66">
        <f>('Financial Data'!F10-'Financial Data'!E10)/'Financial Data'!E10</f>
        <v>0.24491074224866896</v>
      </c>
      <c r="H8" s="75">
        <f>('Financial Data'!G10-'Financial Data'!F10)/'Financial Data'!F10</f>
        <v>0.26062893081761007</v>
      </c>
      <c r="J8" s="251" t="s">
        <v>18</v>
      </c>
      <c r="K8" s="252"/>
      <c r="L8" s="245" t="str">
        <f>IF(AVERAGE(C8:G8)&gt;0.2,"Strong"," Moderate")</f>
        <v>Strong</v>
      </c>
      <c r="M8" s="246"/>
      <c r="O8" s="101" t="s">
        <v>120</v>
      </c>
      <c r="P8" s="102"/>
      <c r="Q8" s="103"/>
      <c r="AA8" s="2" t="s">
        <v>54</v>
      </c>
      <c r="AB8" s="89">
        <v>0.24490000000000001</v>
      </c>
      <c r="AD8" s="2" t="s">
        <v>53</v>
      </c>
      <c r="AE8" s="24">
        <v>0</v>
      </c>
      <c r="AF8" s="24">
        <v>-110</v>
      </c>
    </row>
    <row r="9" spans="2:32" s="71" customFormat="1" ht="25.05" customHeight="1" x14ac:dyDescent="0.25">
      <c r="B9" s="249" t="s">
        <v>20</v>
      </c>
      <c r="C9" s="250"/>
      <c r="D9" s="240">
        <f>('Financial Data'!G10/'Financial Data'!C10)^(1/5)-1</f>
        <v>0.21571143169251283</v>
      </c>
      <c r="E9" s="241"/>
      <c r="F9" s="241"/>
      <c r="G9" s="241"/>
      <c r="H9" s="242"/>
      <c r="J9" s="249" t="s">
        <v>17</v>
      </c>
      <c r="K9" s="250"/>
      <c r="L9" s="243" t="str">
        <f>IF(G15&gt;5%," Improving"," Stable")</f>
        <v xml:space="preserve"> Stable</v>
      </c>
      <c r="M9" s="244"/>
      <c r="O9" s="280" t="s">
        <v>121</v>
      </c>
      <c r="P9" s="281"/>
      <c r="Q9" s="286"/>
      <c r="AA9" s="2" t="s">
        <v>104</v>
      </c>
      <c r="AB9" s="89">
        <v>0.2606</v>
      </c>
      <c r="AD9" s="2" t="s">
        <v>54</v>
      </c>
      <c r="AE9" s="24">
        <v>467</v>
      </c>
      <c r="AF9" s="24">
        <v>339</v>
      </c>
    </row>
    <row r="10" spans="2:32" s="71" customFormat="1" ht="25.05" customHeight="1" thickBot="1" x14ac:dyDescent="0.3">
      <c r="B10" s="247" t="s">
        <v>106</v>
      </c>
      <c r="C10" s="248"/>
      <c r="D10" s="67" t="s">
        <v>123</v>
      </c>
      <c r="E10" s="67">
        <f>('Financial Data'!D31-'Financial Data'!C31)/'Financial Data'!D31</f>
        <v>0.10305084745762712</v>
      </c>
      <c r="F10" s="67">
        <f>('Financial Data'!E31-'Financial Data'!D31)/'Financial Data'!E31</f>
        <v>0.13260805645398413</v>
      </c>
      <c r="G10" s="67">
        <f>('Financial Data'!F31-'Financial Data'!E31)/'Financial Data'!F31</f>
        <v>0.14547738693467338</v>
      </c>
      <c r="H10" s="76">
        <f>('Financial Data'!G31-'Financial Data'!F31)/'Financial Data'!G31</f>
        <v>0.13684667100412057</v>
      </c>
      <c r="J10" s="249" t="s">
        <v>113</v>
      </c>
      <c r="K10" s="250"/>
      <c r="L10" s="243" t="str">
        <f>IF(G22&gt;0,"Positive","Weak")</f>
        <v>Positive</v>
      </c>
      <c r="M10" s="244"/>
      <c r="O10" s="282"/>
      <c r="P10" s="283"/>
      <c r="Q10" s="287"/>
      <c r="AD10" s="2" t="s">
        <v>104</v>
      </c>
      <c r="AE10" s="24">
        <v>644</v>
      </c>
      <c r="AF10" s="24">
        <v>493</v>
      </c>
    </row>
    <row r="11" spans="2:32" ht="25.05" customHeight="1" thickBot="1" x14ac:dyDescent="0.3">
      <c r="J11" s="249" t="s">
        <v>114</v>
      </c>
      <c r="K11" s="250"/>
      <c r="L11" s="243" t="str">
        <f>IF(G24&lt;1,"Healthy","Moderate")</f>
        <v>Healthy</v>
      </c>
      <c r="M11" s="244"/>
      <c r="O11" s="282"/>
      <c r="P11" s="283"/>
      <c r="Q11" s="287"/>
      <c r="Z11" s="1" t="s">
        <v>129</v>
      </c>
      <c r="AA11" s="25" t="s">
        <v>130</v>
      </c>
      <c r="AB11" s="25" t="s">
        <v>19</v>
      </c>
    </row>
    <row r="12" spans="2:32" ht="30" customHeight="1" thickBot="1" x14ac:dyDescent="0.3">
      <c r="B12" s="256" t="s">
        <v>117</v>
      </c>
      <c r="C12" s="257"/>
      <c r="D12" s="257"/>
      <c r="E12" s="257"/>
      <c r="F12" s="257"/>
      <c r="G12" s="257"/>
      <c r="H12" s="258"/>
      <c r="J12" s="247" t="s">
        <v>115</v>
      </c>
      <c r="K12" s="248"/>
      <c r="L12" s="253" t="str">
        <f>IF(COUNTIF(L8:M11,"*")&gt;=3,"Positive","Mixed")</f>
        <v>Positive</v>
      </c>
      <c r="M12" s="254"/>
      <c r="O12" s="282"/>
      <c r="P12" s="283"/>
      <c r="Q12" s="287"/>
      <c r="Z12" s="2" t="s">
        <v>51</v>
      </c>
      <c r="AA12" s="90">
        <v>4.3499999999999997E-2</v>
      </c>
      <c r="AB12" s="90">
        <v>1.09E-2</v>
      </c>
    </row>
    <row r="13" spans="2:32" s="70" customFormat="1" ht="30" customHeight="1" thickBot="1" x14ac:dyDescent="0.3">
      <c r="B13" s="255" t="s">
        <v>103</v>
      </c>
      <c r="C13" s="144"/>
      <c r="D13" s="64" t="s">
        <v>51</v>
      </c>
      <c r="E13" s="64" t="s">
        <v>52</v>
      </c>
      <c r="F13" s="64" t="s">
        <v>53</v>
      </c>
      <c r="G13" s="64" t="s">
        <v>54</v>
      </c>
      <c r="H13" s="65" t="s">
        <v>104</v>
      </c>
      <c r="O13" s="282"/>
      <c r="P13" s="283"/>
      <c r="Q13" s="287"/>
      <c r="Z13" s="2" t="s">
        <v>52</v>
      </c>
      <c r="AA13" s="90">
        <v>0.05</v>
      </c>
      <c r="AB13" s="90">
        <v>4.1000000000000003E-3</v>
      </c>
    </row>
    <row r="14" spans="2:32" s="71" customFormat="1" ht="25.05" customHeight="1" x14ac:dyDescent="0.25">
      <c r="B14" s="251" t="s">
        <v>107</v>
      </c>
      <c r="C14" s="252"/>
      <c r="D14" s="66">
        <f>'Financial Data'!C14/'Financial Data'!C10</f>
        <v>4.3455219925808163E-2</v>
      </c>
      <c r="E14" s="66">
        <f>'Financial Data'!D14/'Financial Data'!D10</f>
        <v>4.9961119751166405E-2</v>
      </c>
      <c r="F14" s="66">
        <f>'Financial Data'!E14/'Financial Data'!E10</f>
        <v>5.4337613529595992E-2</v>
      </c>
      <c r="G14" s="66">
        <f>'Financial Data'!F14/'Financial Data'!F10</f>
        <v>5.9748427672955975E-2</v>
      </c>
      <c r="H14" s="66">
        <f>'Financial Data'!G14/'Financial Data'!G10</f>
        <v>7.5034923169028142E-2</v>
      </c>
      <c r="O14" s="282"/>
      <c r="P14" s="283"/>
      <c r="Q14" s="287"/>
      <c r="Z14" s="2" t="s">
        <v>53</v>
      </c>
      <c r="AA14" s="90">
        <v>5.4300000000000001E-2</v>
      </c>
      <c r="AB14" s="90">
        <v>6.3E-3</v>
      </c>
    </row>
    <row r="15" spans="2:32" s="71" customFormat="1" ht="25.05" customHeight="1" thickBot="1" x14ac:dyDescent="0.3">
      <c r="B15" s="249" t="s">
        <v>108</v>
      </c>
      <c r="C15" s="250"/>
      <c r="D15" s="68">
        <f>'Financial Data'!C18/'Financial Data'!C10</f>
        <v>1.0863804981452041E-2</v>
      </c>
      <c r="E15" s="68">
        <f>'Financial Data'!D18/'Financial Data'!D10</f>
        <v>4.0824261275272163E-3</v>
      </c>
      <c r="F15" s="68">
        <f>'Financial Data'!E18/'Financial Data'!E10</f>
        <v>6.2637018477920449E-3</v>
      </c>
      <c r="G15" s="68">
        <f>'Financial Data'!F18/'Financial Data'!F10</f>
        <v>9.0566037735849061E-3</v>
      </c>
      <c r="H15" s="68">
        <f>'Financial Data'!G18/'Financial Data'!G10</f>
        <v>2.0355218519257635E-2</v>
      </c>
      <c r="O15" s="282"/>
      <c r="P15" s="283"/>
      <c r="Q15" s="287"/>
      <c r="Z15" s="2" t="s">
        <v>54</v>
      </c>
      <c r="AA15" s="90">
        <v>5.9700000000000003E-2</v>
      </c>
      <c r="AB15" s="90">
        <v>9.1000000000000004E-3</v>
      </c>
    </row>
    <row r="16" spans="2:32" s="71" customFormat="1" ht="25.05" customHeight="1" thickBot="1" x14ac:dyDescent="0.3">
      <c r="B16" s="249" t="s">
        <v>109</v>
      </c>
      <c r="C16" s="250"/>
      <c r="D16" s="68">
        <f>'Financial Data'!C18/'Financial Data'!C31</f>
        <v>1.5495086923658353E-2</v>
      </c>
      <c r="E16" s="68">
        <f>'Financial Data'!D18/'Financial Data'!D31</f>
        <v>7.1186440677966098E-3</v>
      </c>
      <c r="F16" s="68">
        <f>'Financial Data'!E18/'Financial Data'!E31</f>
        <v>1.1761246692149369E-2</v>
      </c>
      <c r="G16" s="68">
        <f>'Financial Data'!F18/'Financial Data'!F31</f>
        <v>1.8090452261306532E-2</v>
      </c>
      <c r="H16" s="68">
        <f>'Financial Data'!G18/'Financial Data'!G31</f>
        <v>4.4242029928432007E-2</v>
      </c>
      <c r="J16" s="155" t="s">
        <v>160</v>
      </c>
      <c r="K16" s="156"/>
      <c r="L16" s="156"/>
      <c r="M16" s="289"/>
      <c r="O16" s="282"/>
      <c r="P16" s="283"/>
      <c r="Q16" s="287"/>
      <c r="Z16" s="2" t="s">
        <v>104</v>
      </c>
      <c r="AA16" s="90">
        <v>7.4999999999999997E-2</v>
      </c>
      <c r="AB16" s="90">
        <v>2.0400000000000001E-2</v>
      </c>
    </row>
    <row r="17" spans="2:17" s="71" customFormat="1" ht="25.05" customHeight="1" thickBot="1" x14ac:dyDescent="0.3">
      <c r="B17" s="247" t="s">
        <v>110</v>
      </c>
      <c r="C17" s="248"/>
      <c r="D17" s="72">
        <f>'Financial Data'!C18/('Financial Data'!C36+'Financial Data'!C37)</f>
        <v>3.0619865571321882E-2</v>
      </c>
      <c r="E17" s="72">
        <f>'Financial Data'!D18/('Financial Data'!D36+'Financial Data'!D37)</f>
        <v>1.5239477503628448E-2</v>
      </c>
      <c r="F17" s="72">
        <f>'Financial Data'!E18/('Financial Data'!E36+'Financial Data'!E37)</f>
        <v>3.167062549485352E-2</v>
      </c>
      <c r="G17" s="72">
        <f>'Financial Data'!F18/('Financial Data'!F36+'Financial Data'!F37)</f>
        <v>5.5342044581091467E-2</v>
      </c>
      <c r="H17" s="72">
        <f>'Financial Data'!G18/('Financial Data'!G36+'Financial Data'!G37)</f>
        <v>0.14186369958275383</v>
      </c>
      <c r="J17" s="274" t="s">
        <v>103</v>
      </c>
      <c r="K17" s="275"/>
      <c r="L17" s="275"/>
      <c r="M17" s="276" t="s">
        <v>156</v>
      </c>
      <c r="O17" s="284"/>
      <c r="P17" s="285"/>
      <c r="Q17" s="288"/>
    </row>
    <row r="18" spans="2:17" ht="25.05" customHeight="1" thickBot="1" x14ac:dyDescent="0.3">
      <c r="J18" s="128" t="s">
        <v>157</v>
      </c>
      <c r="K18" s="129"/>
      <c r="L18" s="129"/>
      <c r="M18" s="278">
        <v>1125</v>
      </c>
    </row>
    <row r="19" spans="2:17" ht="24" thickBot="1" x14ac:dyDescent="0.3">
      <c r="B19" s="256" t="s">
        <v>118</v>
      </c>
      <c r="C19" s="257"/>
      <c r="D19" s="257"/>
      <c r="E19" s="257"/>
      <c r="F19" s="257"/>
      <c r="G19" s="257"/>
      <c r="H19" s="258"/>
      <c r="J19" s="128" t="s">
        <v>158</v>
      </c>
      <c r="K19" s="129"/>
      <c r="L19" s="129"/>
      <c r="M19" s="277">
        <v>314.39999999999998</v>
      </c>
    </row>
    <row r="20" spans="2:17" s="70" customFormat="1" ht="30" customHeight="1" thickBot="1" x14ac:dyDescent="0.3">
      <c r="B20" s="255" t="s">
        <v>103</v>
      </c>
      <c r="C20" s="144"/>
      <c r="D20" s="64" t="s">
        <v>51</v>
      </c>
      <c r="E20" s="64" t="s">
        <v>52</v>
      </c>
      <c r="F20" s="64" t="s">
        <v>53</v>
      </c>
      <c r="G20" s="64" t="s">
        <v>54</v>
      </c>
      <c r="H20" s="65" t="s">
        <v>104</v>
      </c>
      <c r="J20" s="133" t="s">
        <v>159</v>
      </c>
      <c r="K20" s="131"/>
      <c r="L20" s="131"/>
      <c r="M20" s="279">
        <f>(M19-M18)/M18</f>
        <v>-0.72053333333333336</v>
      </c>
    </row>
    <row r="21" spans="2:17" s="71" customFormat="1" ht="25.05" customHeight="1" x14ac:dyDescent="0.25">
      <c r="B21" s="259" t="s">
        <v>24</v>
      </c>
      <c r="C21" s="260"/>
      <c r="D21" s="83">
        <f>'Financial Data'!C43</f>
        <v>-354</v>
      </c>
      <c r="E21" s="83">
        <f>'Financial Data'!D43</f>
        <v>-140</v>
      </c>
      <c r="F21" s="83">
        <f>'Financial Data'!E43</f>
        <v>0</v>
      </c>
      <c r="G21" s="83">
        <f>'Financial Data'!F43</f>
        <v>467</v>
      </c>
      <c r="H21" s="84">
        <f>'Financial Data'!G43</f>
        <v>644</v>
      </c>
    </row>
    <row r="22" spans="2:17" s="71" customFormat="1" ht="25.05" customHeight="1" x14ac:dyDescent="0.25">
      <c r="B22" s="249" t="s">
        <v>86</v>
      </c>
      <c r="C22" s="250"/>
      <c r="D22" s="45">
        <f>'Financial Data'!C48</f>
        <v>-448</v>
      </c>
      <c r="E22" s="45">
        <f>'Financial Data'!D48</f>
        <v>-348</v>
      </c>
      <c r="F22" s="45">
        <f>'Financial Data'!E48</f>
        <v>-110</v>
      </c>
      <c r="G22" s="45">
        <f>'Financial Data'!F48</f>
        <v>339</v>
      </c>
      <c r="H22" s="46">
        <f>'Financial Data'!G48</f>
        <v>493</v>
      </c>
    </row>
    <row r="23" spans="2:17" ht="24" customHeight="1" thickBot="1" x14ac:dyDescent="0.3">
      <c r="B23" s="247" t="s">
        <v>122</v>
      </c>
      <c r="C23" s="248"/>
      <c r="D23" s="82">
        <f>'Financial Data'!C33/'Financial Data'!C38</f>
        <v>0.44286781179985063</v>
      </c>
      <c r="E23" s="82">
        <f>'Financial Data'!D33/'Financial Data'!D38</f>
        <v>0.57910014513788099</v>
      </c>
      <c r="F23" s="82">
        <f>'Financial Data'!E33/'Financial Data'!E38</f>
        <v>0.76722090261282661</v>
      </c>
      <c r="G23" s="82">
        <f>'Financial Data'!F33/'Financial Data'!F38</f>
        <v>1.0153727901614142</v>
      </c>
      <c r="H23" s="85">
        <f>'Financial Data'!G33/'Financial Data'!G38</f>
        <v>0.86091794158553547</v>
      </c>
    </row>
  </sheetData>
  <mergeCells count="39">
    <mergeCell ref="J19:L19"/>
    <mergeCell ref="J18:L18"/>
    <mergeCell ref="J17:L17"/>
    <mergeCell ref="O8:Q8"/>
    <mergeCell ref="O9:Q17"/>
    <mergeCell ref="J20:L20"/>
    <mergeCell ref="B22:C22"/>
    <mergeCell ref="B23:C23"/>
    <mergeCell ref="L12:M12"/>
    <mergeCell ref="L11:M11"/>
    <mergeCell ref="L10:M10"/>
    <mergeCell ref="B17:C17"/>
    <mergeCell ref="B16:C16"/>
    <mergeCell ref="B15:C15"/>
    <mergeCell ref="B14:C14"/>
    <mergeCell ref="B13:C13"/>
    <mergeCell ref="B12:H12"/>
    <mergeCell ref="B10:C10"/>
    <mergeCell ref="B19:H19"/>
    <mergeCell ref="B20:C20"/>
    <mergeCell ref="B21:C21"/>
    <mergeCell ref="J16:M16"/>
    <mergeCell ref="D9:H9"/>
    <mergeCell ref="B4:M4"/>
    <mergeCell ref="B2:M3"/>
    <mergeCell ref="L9:M9"/>
    <mergeCell ref="L8:M8"/>
    <mergeCell ref="J9:K9"/>
    <mergeCell ref="J8:K8"/>
    <mergeCell ref="B9:C9"/>
    <mergeCell ref="B8:C8"/>
    <mergeCell ref="B7:C7"/>
    <mergeCell ref="B6:H6"/>
    <mergeCell ref="J7:K7"/>
    <mergeCell ref="L7:M7"/>
    <mergeCell ref="J6:M6"/>
    <mergeCell ref="J12:K12"/>
    <mergeCell ref="J11:K11"/>
    <mergeCell ref="J10:K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7425-EBF2-48E6-8C2C-533B8A0DBC23}">
  <dimension ref="B1:Q35"/>
  <sheetViews>
    <sheetView tabSelected="1" zoomScale="55" workbookViewId="0">
      <selection activeCell="N21" sqref="N21"/>
    </sheetView>
  </sheetViews>
  <sheetFormatPr defaultRowHeight="16.8" x14ac:dyDescent="0.25"/>
  <cols>
    <col min="1" max="1" width="2.23046875" style="3" customWidth="1"/>
    <col min="2" max="2" width="14.765625" style="3" bestFit="1" customWidth="1"/>
    <col min="3" max="3" width="2.23046875" style="3" customWidth="1"/>
    <col min="4" max="4" width="14" style="3" customWidth="1"/>
    <col min="5" max="5" width="3.07421875" style="3" customWidth="1"/>
    <col min="6" max="6" width="9.3046875" style="3" customWidth="1"/>
    <col min="7" max="7" width="10.4609375" style="3" customWidth="1"/>
    <col min="8" max="8" width="2.23046875" style="3" customWidth="1"/>
    <col min="9" max="9" width="15.69140625" style="3" customWidth="1"/>
    <col min="10" max="10" width="11.23046875" style="3" customWidth="1"/>
    <col min="11" max="11" width="2.23046875" style="3" customWidth="1"/>
    <col min="12" max="12" width="11.3828125" style="3" customWidth="1"/>
    <col min="13" max="13" width="7.921875" style="3" customWidth="1"/>
    <col min="14" max="16384" width="9.23046875" style="3"/>
  </cols>
  <sheetData>
    <row r="1" spans="2:17" ht="8.4" customHeight="1" thickBot="1" x14ac:dyDescent="0.3"/>
    <row r="2" spans="2:17" ht="16.8" customHeight="1" x14ac:dyDescent="0.25">
      <c r="B2" s="92" t="s">
        <v>47</v>
      </c>
      <c r="C2" s="93"/>
      <c r="D2" s="93"/>
      <c r="E2" s="93"/>
      <c r="F2" s="93"/>
      <c r="G2" s="93"/>
      <c r="H2" s="93"/>
      <c r="I2" s="93"/>
      <c r="J2" s="93"/>
      <c r="K2" s="93"/>
      <c r="L2" s="93"/>
      <c r="M2" s="93"/>
      <c r="N2" s="93"/>
      <c r="O2" s="93"/>
      <c r="P2" s="93"/>
      <c r="Q2" s="94"/>
    </row>
    <row r="3" spans="2:17" ht="17.399999999999999" customHeight="1" thickBot="1" x14ac:dyDescent="0.3">
      <c r="B3" s="95"/>
      <c r="C3" s="96"/>
      <c r="D3" s="96"/>
      <c r="E3" s="96"/>
      <c r="F3" s="96"/>
      <c r="G3" s="96"/>
      <c r="H3" s="96"/>
      <c r="I3" s="96"/>
      <c r="J3" s="96"/>
      <c r="K3" s="96"/>
      <c r="L3" s="96"/>
      <c r="M3" s="96"/>
      <c r="N3" s="96"/>
      <c r="O3" s="96"/>
      <c r="P3" s="96"/>
      <c r="Q3" s="97"/>
    </row>
    <row r="4" spans="2:17" ht="21" thickBot="1" x14ac:dyDescent="0.3">
      <c r="B4" s="264" t="s">
        <v>134</v>
      </c>
      <c r="C4" s="265"/>
      <c r="D4" s="265"/>
      <c r="E4" s="265"/>
      <c r="F4" s="265"/>
      <c r="G4" s="265"/>
      <c r="H4" s="265"/>
      <c r="I4" s="265"/>
      <c r="J4" s="265"/>
      <c r="K4" s="265"/>
      <c r="L4" s="265"/>
      <c r="M4" s="265"/>
      <c r="N4" s="265"/>
      <c r="O4" s="265"/>
      <c r="P4" s="265"/>
      <c r="Q4" s="266"/>
    </row>
    <row r="5" spans="2:17" ht="19.2" thickBot="1" x14ac:dyDescent="0.3">
      <c r="B5" s="227" t="s">
        <v>87</v>
      </c>
      <c r="C5" s="228"/>
      <c r="D5" s="228"/>
      <c r="E5" s="228"/>
      <c r="F5" s="228"/>
      <c r="G5" s="228"/>
      <c r="H5" s="228"/>
      <c r="I5" s="228"/>
      <c r="J5" s="228"/>
      <c r="K5" s="228"/>
      <c r="L5" s="228"/>
      <c r="M5" s="228"/>
      <c r="N5" s="228"/>
      <c r="O5" s="228"/>
      <c r="P5" s="228"/>
      <c r="Q5" s="229"/>
    </row>
    <row r="6" spans="2:17" ht="8.4" customHeight="1" thickBot="1" x14ac:dyDescent="0.3"/>
    <row r="7" spans="2:17" ht="30" customHeight="1" thickBot="1" x14ac:dyDescent="0.3">
      <c r="B7" s="86" t="s">
        <v>124</v>
      </c>
      <c r="D7" s="86" t="s">
        <v>125</v>
      </c>
      <c r="E7" s="87"/>
      <c r="F7" s="269" t="s">
        <v>126</v>
      </c>
      <c r="G7" s="270"/>
      <c r="I7" s="269" t="s">
        <v>127</v>
      </c>
      <c r="J7" s="270"/>
      <c r="L7" s="269" t="s">
        <v>128</v>
      </c>
      <c r="M7" s="270"/>
      <c r="O7" s="261" t="s">
        <v>133</v>
      </c>
      <c r="P7" s="262"/>
      <c r="Q7" s="263"/>
    </row>
    <row r="8" spans="2:17" ht="24" customHeight="1" thickBot="1" x14ac:dyDescent="0.3">
      <c r="B8" s="91">
        <f>'Financial Data'!G10</f>
        <v>10022</v>
      </c>
      <c r="D8" s="91">
        <f>'Financial Data'!G18</f>
        <v>204</v>
      </c>
      <c r="E8" s="88"/>
      <c r="F8" s="267">
        <f>'Financial Analysis'!D9</f>
        <v>0.21571143169251283</v>
      </c>
      <c r="G8" s="273"/>
      <c r="I8" s="267">
        <f>'Financial Analysis'!H14</f>
        <v>7.5034923169028142E-2</v>
      </c>
      <c r="J8" s="268"/>
      <c r="L8" s="271">
        <f>'Financial Analysis'!H22</f>
        <v>493</v>
      </c>
      <c r="M8" s="272"/>
      <c r="O8" s="290" t="s">
        <v>135</v>
      </c>
      <c r="P8" s="291"/>
      <c r="Q8" s="292"/>
    </row>
    <row r="9" spans="2:17" ht="16.8" customHeight="1" x14ac:dyDescent="0.25">
      <c r="O9" s="293"/>
      <c r="P9" s="294"/>
      <c r="Q9" s="295"/>
    </row>
    <row r="10" spans="2:17" ht="16.8" customHeight="1" x14ac:dyDescent="0.25">
      <c r="O10" s="293"/>
      <c r="P10" s="294"/>
      <c r="Q10" s="295"/>
    </row>
    <row r="11" spans="2:17" ht="16.8" customHeight="1" x14ac:dyDescent="0.25">
      <c r="O11" s="293"/>
      <c r="P11" s="294"/>
      <c r="Q11" s="295"/>
    </row>
    <row r="12" spans="2:17" ht="16.8" customHeight="1" x14ac:dyDescent="0.25">
      <c r="O12" s="293"/>
      <c r="P12" s="294"/>
      <c r="Q12" s="295"/>
    </row>
    <row r="13" spans="2:17" ht="16.8" customHeight="1" x14ac:dyDescent="0.25">
      <c r="O13" s="293"/>
      <c r="P13" s="294"/>
      <c r="Q13" s="295"/>
    </row>
    <row r="14" spans="2:17" ht="16.8" customHeight="1" x14ac:dyDescent="0.25">
      <c r="O14" s="293"/>
      <c r="P14" s="294"/>
      <c r="Q14" s="295"/>
    </row>
    <row r="15" spans="2:17" ht="16.8" customHeight="1" x14ac:dyDescent="0.25">
      <c r="O15" s="293"/>
      <c r="P15" s="294"/>
      <c r="Q15" s="295"/>
    </row>
    <row r="16" spans="2:17" ht="16.8" customHeight="1" x14ac:dyDescent="0.25">
      <c r="O16" s="293"/>
      <c r="P16" s="294"/>
      <c r="Q16" s="295"/>
    </row>
    <row r="17" spans="15:17" ht="16.8" customHeight="1" x14ac:dyDescent="0.25">
      <c r="O17" s="293"/>
      <c r="P17" s="294"/>
      <c r="Q17" s="295"/>
    </row>
    <row r="18" spans="15:17" ht="16.8" customHeight="1" x14ac:dyDescent="0.25">
      <c r="O18" s="293"/>
      <c r="P18" s="294"/>
      <c r="Q18" s="295"/>
    </row>
    <row r="19" spans="15:17" ht="16.8" customHeight="1" x14ac:dyDescent="0.25">
      <c r="O19" s="293"/>
      <c r="P19" s="294"/>
      <c r="Q19" s="295"/>
    </row>
    <row r="20" spans="15:17" ht="16.8" customHeight="1" x14ac:dyDescent="0.25">
      <c r="O20" s="293"/>
      <c r="P20" s="294"/>
      <c r="Q20" s="295"/>
    </row>
    <row r="21" spans="15:17" ht="16.8" customHeight="1" x14ac:dyDescent="0.25">
      <c r="O21" s="293"/>
      <c r="P21" s="294"/>
      <c r="Q21" s="295"/>
    </row>
    <row r="22" spans="15:17" ht="16.8" customHeight="1" x14ac:dyDescent="0.25">
      <c r="O22" s="293"/>
      <c r="P22" s="294"/>
      <c r="Q22" s="295"/>
    </row>
    <row r="23" spans="15:17" ht="16.8" customHeight="1" x14ac:dyDescent="0.25">
      <c r="O23" s="293"/>
      <c r="P23" s="294"/>
      <c r="Q23" s="295"/>
    </row>
    <row r="24" spans="15:17" ht="16.8" customHeight="1" x14ac:dyDescent="0.25">
      <c r="O24" s="293"/>
      <c r="P24" s="294"/>
      <c r="Q24" s="295"/>
    </row>
    <row r="25" spans="15:17" ht="16.8" customHeight="1" x14ac:dyDescent="0.25">
      <c r="O25" s="293"/>
      <c r="P25" s="294"/>
      <c r="Q25" s="295"/>
    </row>
    <row r="26" spans="15:17" ht="16.8" customHeight="1" x14ac:dyDescent="0.25">
      <c r="O26" s="293"/>
      <c r="P26" s="294"/>
      <c r="Q26" s="295"/>
    </row>
    <row r="27" spans="15:17" ht="16.8" customHeight="1" thickBot="1" x14ac:dyDescent="0.3">
      <c r="O27" s="296"/>
      <c r="P27" s="297"/>
      <c r="Q27" s="298"/>
    </row>
    <row r="28" spans="15:17" ht="16.8" customHeight="1" x14ac:dyDescent="0.25"/>
    <row r="29" spans="15:17" ht="16.8" customHeight="1" x14ac:dyDescent="0.25"/>
    <row r="30" spans="15:17" ht="16.8" customHeight="1" x14ac:dyDescent="0.25"/>
    <row r="31" spans="15:17" ht="16.8" customHeight="1" x14ac:dyDescent="0.25"/>
    <row r="32" spans="15:17" ht="16.8" customHeight="1" x14ac:dyDescent="0.25"/>
    <row r="33" ht="17.399999999999999" customHeight="1" x14ac:dyDescent="0.25"/>
    <row r="34" ht="16.8" customHeight="1" x14ac:dyDescent="0.25"/>
    <row r="35" ht="17.399999999999999" customHeight="1" x14ac:dyDescent="0.25"/>
  </sheetData>
  <mergeCells count="11">
    <mergeCell ref="O7:Q7"/>
    <mergeCell ref="B2:Q3"/>
    <mergeCell ref="B4:Q4"/>
    <mergeCell ref="B5:Q5"/>
    <mergeCell ref="I8:J8"/>
    <mergeCell ref="I7:J7"/>
    <mergeCell ref="L8:M8"/>
    <mergeCell ref="L7:M7"/>
    <mergeCell ref="F8:G8"/>
    <mergeCell ref="F7:G7"/>
    <mergeCell ref="O8:Q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E4359-25C2-47BA-AF6C-1D972965AC41}">
  <dimension ref="B1:R27"/>
  <sheetViews>
    <sheetView zoomScale="60" zoomScaleNormal="60" workbookViewId="0">
      <selection activeCell="L32" sqref="L32"/>
    </sheetView>
  </sheetViews>
  <sheetFormatPr defaultRowHeight="16.8" x14ac:dyDescent="0.25"/>
  <cols>
    <col min="1" max="1" width="3.69140625" style="3" customWidth="1"/>
    <col min="2" max="3" width="10.69140625" style="3" customWidth="1"/>
    <col min="4" max="4" width="2.23046875" style="3" customWidth="1"/>
    <col min="5" max="10" width="10.69140625" style="3" customWidth="1"/>
    <col min="11" max="11" width="2.23046875" style="3" customWidth="1"/>
    <col min="12" max="14" width="9.23046875" style="3"/>
    <col min="15" max="15" width="2.23046875" style="3" customWidth="1"/>
    <col min="16" max="18" width="9.23046875" style="3"/>
    <col min="19" max="19" width="3.69140625" style="3" customWidth="1"/>
    <col min="20" max="16384" width="9.23046875" style="3"/>
  </cols>
  <sheetData>
    <row r="1" spans="2:18" ht="17.399999999999999" thickBot="1" x14ac:dyDescent="0.3"/>
    <row r="2" spans="2:18" ht="16.8" customHeight="1" x14ac:dyDescent="0.25">
      <c r="B2" s="92" t="s">
        <v>47</v>
      </c>
      <c r="C2" s="93"/>
      <c r="D2" s="93"/>
      <c r="E2" s="93"/>
      <c r="F2" s="93"/>
      <c r="G2" s="93"/>
      <c r="H2" s="93"/>
      <c r="I2" s="93"/>
      <c r="J2" s="93"/>
      <c r="K2" s="93"/>
      <c r="L2" s="93"/>
      <c r="M2" s="93"/>
      <c r="N2" s="93"/>
      <c r="O2" s="93"/>
      <c r="P2" s="93"/>
      <c r="Q2" s="93"/>
      <c r="R2" s="94"/>
    </row>
    <row r="3" spans="2:18" ht="17.399999999999999" customHeight="1" thickBot="1" x14ac:dyDescent="0.3">
      <c r="B3" s="95"/>
      <c r="C3" s="96"/>
      <c r="D3" s="96"/>
      <c r="E3" s="96"/>
      <c r="F3" s="96"/>
      <c r="G3" s="96"/>
      <c r="H3" s="96"/>
      <c r="I3" s="96"/>
      <c r="J3" s="96"/>
      <c r="K3" s="96"/>
      <c r="L3" s="96"/>
      <c r="M3" s="96"/>
      <c r="N3" s="96"/>
      <c r="O3" s="96"/>
      <c r="P3" s="96"/>
      <c r="Q3" s="96"/>
      <c r="R3" s="97"/>
    </row>
    <row r="4" spans="2:18" ht="19.2" thickBot="1" x14ac:dyDescent="0.3">
      <c r="B4" s="98" t="s">
        <v>137</v>
      </c>
      <c r="C4" s="99"/>
      <c r="D4" s="99"/>
      <c r="E4" s="99"/>
      <c r="F4" s="99"/>
      <c r="G4" s="99"/>
      <c r="H4" s="99"/>
      <c r="I4" s="99"/>
      <c r="J4" s="99"/>
      <c r="K4" s="99"/>
      <c r="L4" s="99"/>
      <c r="M4" s="99"/>
      <c r="N4" s="99"/>
      <c r="O4" s="99"/>
      <c r="P4" s="99"/>
      <c r="Q4" s="99"/>
      <c r="R4" s="100"/>
    </row>
    <row r="5" spans="2:18" ht="12" customHeight="1" thickBot="1" x14ac:dyDescent="0.3"/>
    <row r="6" spans="2:18" ht="21" thickBot="1" x14ac:dyDescent="0.4">
      <c r="B6" s="146" t="s">
        <v>136</v>
      </c>
      <c r="C6" s="147"/>
      <c r="L6" s="101" t="s">
        <v>147</v>
      </c>
      <c r="M6" s="102"/>
      <c r="N6" s="103"/>
      <c r="P6" s="101" t="s">
        <v>148</v>
      </c>
      <c r="Q6" s="102"/>
      <c r="R6" s="103"/>
    </row>
    <row r="7" spans="2:18" s="35" customFormat="1" ht="25.05" customHeight="1" thickBot="1" x14ac:dyDescent="0.45">
      <c r="B7" s="148" t="s">
        <v>12</v>
      </c>
      <c r="C7" s="149"/>
      <c r="E7" s="113" t="s">
        <v>140</v>
      </c>
      <c r="F7" s="140"/>
      <c r="G7" s="140"/>
      <c r="H7" s="140"/>
      <c r="I7" s="140"/>
      <c r="J7" s="114"/>
      <c r="L7" s="104" t="s">
        <v>150</v>
      </c>
      <c r="M7" s="105"/>
      <c r="N7" s="106"/>
      <c r="P7" s="104" t="s">
        <v>151</v>
      </c>
      <c r="Q7" s="105"/>
      <c r="R7" s="106"/>
    </row>
    <row r="8" spans="2:18" ht="30" customHeight="1" thickBot="1" x14ac:dyDescent="0.3">
      <c r="B8" s="150"/>
      <c r="C8" s="151"/>
      <c r="E8" s="26" t="s">
        <v>111</v>
      </c>
      <c r="F8" s="144" t="s">
        <v>141</v>
      </c>
      <c r="G8" s="144"/>
      <c r="H8" s="144" t="s">
        <v>140</v>
      </c>
      <c r="I8" s="144"/>
      <c r="J8" s="145"/>
      <c r="L8" s="107"/>
      <c r="M8" s="108"/>
      <c r="N8" s="109"/>
      <c r="P8" s="107"/>
      <c r="Q8" s="108"/>
      <c r="R8" s="109"/>
    </row>
    <row r="9" spans="2:18" ht="34.950000000000003" customHeight="1" x14ac:dyDescent="0.25">
      <c r="B9" s="150"/>
      <c r="C9" s="151"/>
      <c r="E9" s="143" t="s">
        <v>18</v>
      </c>
      <c r="F9" s="141" t="s">
        <v>142</v>
      </c>
      <c r="G9" s="141"/>
      <c r="H9" s="141" t="s">
        <v>143</v>
      </c>
      <c r="I9" s="141"/>
      <c r="J9" s="142"/>
      <c r="L9" s="107"/>
      <c r="M9" s="108"/>
      <c r="N9" s="109"/>
      <c r="P9" s="107"/>
      <c r="Q9" s="108"/>
      <c r="R9" s="109"/>
    </row>
    <row r="10" spans="2:18" ht="34.950000000000003" customHeight="1" x14ac:dyDescent="0.25">
      <c r="B10" s="150"/>
      <c r="C10" s="151"/>
      <c r="E10" s="128"/>
      <c r="F10" s="129"/>
      <c r="G10" s="129"/>
      <c r="H10" s="129"/>
      <c r="I10" s="129"/>
      <c r="J10" s="130"/>
      <c r="L10" s="107"/>
      <c r="M10" s="108"/>
      <c r="N10" s="109"/>
      <c r="P10" s="107"/>
      <c r="Q10" s="108"/>
      <c r="R10" s="109"/>
    </row>
    <row r="11" spans="2:18" ht="34.950000000000003" customHeight="1" x14ac:dyDescent="0.25">
      <c r="B11" s="150"/>
      <c r="C11" s="151"/>
      <c r="E11" s="128" t="s">
        <v>17</v>
      </c>
      <c r="F11" s="129" t="s">
        <v>155</v>
      </c>
      <c r="G11" s="129"/>
      <c r="H11" s="129" t="s">
        <v>144</v>
      </c>
      <c r="I11" s="129"/>
      <c r="J11" s="130"/>
      <c r="L11" s="107"/>
      <c r="M11" s="108"/>
      <c r="N11" s="109"/>
      <c r="P11" s="107"/>
      <c r="Q11" s="108"/>
      <c r="R11" s="109"/>
    </row>
    <row r="12" spans="2:18" ht="34.950000000000003" customHeight="1" thickBot="1" x14ac:dyDescent="0.3">
      <c r="B12" s="152"/>
      <c r="C12" s="153"/>
      <c r="E12" s="128"/>
      <c r="F12" s="129"/>
      <c r="G12" s="129"/>
      <c r="H12" s="129"/>
      <c r="I12" s="129"/>
      <c r="J12" s="130"/>
      <c r="L12" s="107"/>
      <c r="M12" s="108"/>
      <c r="N12" s="109"/>
      <c r="P12" s="107"/>
      <c r="Q12" s="108"/>
      <c r="R12" s="109"/>
    </row>
    <row r="13" spans="2:18" ht="34.950000000000003" customHeight="1" thickBot="1" x14ac:dyDescent="0.3">
      <c r="E13" s="128" t="s">
        <v>113</v>
      </c>
      <c r="F13" s="129" t="s">
        <v>154</v>
      </c>
      <c r="G13" s="129"/>
      <c r="H13" s="129" t="s">
        <v>145</v>
      </c>
      <c r="I13" s="129"/>
      <c r="J13" s="130"/>
      <c r="L13" s="107"/>
      <c r="M13" s="108"/>
      <c r="N13" s="109"/>
      <c r="P13" s="107"/>
      <c r="Q13" s="108"/>
      <c r="R13" s="109"/>
    </row>
    <row r="14" spans="2:18" ht="34.950000000000003" customHeight="1" thickBot="1" x14ac:dyDescent="0.4">
      <c r="B14" s="146" t="s">
        <v>138</v>
      </c>
      <c r="C14" s="147"/>
      <c r="E14" s="128"/>
      <c r="F14" s="129"/>
      <c r="G14" s="129"/>
      <c r="H14" s="129"/>
      <c r="I14" s="129"/>
      <c r="J14" s="130"/>
      <c r="L14" s="107"/>
      <c r="M14" s="108"/>
      <c r="N14" s="109"/>
      <c r="P14" s="107"/>
      <c r="Q14" s="108"/>
      <c r="R14" s="109"/>
    </row>
    <row r="15" spans="2:18" ht="34.950000000000003" customHeight="1" x14ac:dyDescent="0.25">
      <c r="B15" s="134" t="s">
        <v>139</v>
      </c>
      <c r="C15" s="135"/>
      <c r="E15" s="128" t="s">
        <v>114</v>
      </c>
      <c r="F15" s="129" t="s">
        <v>153</v>
      </c>
      <c r="G15" s="129"/>
      <c r="H15" s="129" t="s">
        <v>146</v>
      </c>
      <c r="I15" s="129"/>
      <c r="J15" s="130"/>
      <c r="L15" s="107"/>
      <c r="M15" s="108"/>
      <c r="N15" s="109"/>
      <c r="P15" s="107"/>
      <c r="Q15" s="108"/>
      <c r="R15" s="109"/>
    </row>
    <row r="16" spans="2:18" ht="39.6" customHeight="1" thickBot="1" x14ac:dyDescent="0.3">
      <c r="B16" s="136"/>
      <c r="C16" s="137"/>
      <c r="E16" s="133"/>
      <c r="F16" s="131"/>
      <c r="G16" s="131"/>
      <c r="H16" s="131"/>
      <c r="I16" s="131"/>
      <c r="J16" s="132"/>
      <c r="L16" s="107"/>
      <c r="M16" s="108"/>
      <c r="N16" s="109"/>
      <c r="P16" s="107"/>
      <c r="Q16" s="108"/>
      <c r="R16" s="109"/>
    </row>
    <row r="17" spans="2:18" ht="34.950000000000003" customHeight="1" thickBot="1" x14ac:dyDescent="0.3">
      <c r="B17" s="138"/>
      <c r="C17" s="139"/>
      <c r="L17" s="110"/>
      <c r="M17" s="111"/>
      <c r="N17" s="112"/>
      <c r="P17" s="110"/>
      <c r="Q17" s="111"/>
      <c r="R17" s="112"/>
    </row>
    <row r="18" spans="2:18" ht="12" customHeight="1" thickBot="1" x14ac:dyDescent="0.3"/>
    <row r="19" spans="2:18" ht="16.8" customHeight="1" x14ac:dyDescent="0.25">
      <c r="B19" s="113" t="s">
        <v>149</v>
      </c>
      <c r="C19" s="114"/>
      <c r="D19" s="119" t="s">
        <v>152</v>
      </c>
      <c r="E19" s="120"/>
      <c r="F19" s="120"/>
      <c r="G19" s="120"/>
      <c r="H19" s="120"/>
      <c r="I19" s="120"/>
      <c r="J19" s="120"/>
      <c r="K19" s="120"/>
      <c r="L19" s="120"/>
      <c r="M19" s="120"/>
      <c r="N19" s="120"/>
      <c r="O19" s="120"/>
      <c r="P19" s="120"/>
      <c r="Q19" s="120"/>
      <c r="R19" s="121"/>
    </row>
    <row r="20" spans="2:18" ht="17.399999999999999" customHeight="1" x14ac:dyDescent="0.25">
      <c r="B20" s="115"/>
      <c r="C20" s="116"/>
      <c r="D20" s="122"/>
      <c r="E20" s="123"/>
      <c r="F20" s="123"/>
      <c r="G20" s="123"/>
      <c r="H20" s="123"/>
      <c r="I20" s="123"/>
      <c r="J20" s="123"/>
      <c r="K20" s="123"/>
      <c r="L20" s="123"/>
      <c r="M20" s="123"/>
      <c r="N20" s="123"/>
      <c r="O20" s="123"/>
      <c r="P20" s="123"/>
      <c r="Q20" s="123"/>
      <c r="R20" s="124"/>
    </row>
    <row r="21" spans="2:18" ht="17.399999999999999" customHeight="1" x14ac:dyDescent="0.25">
      <c r="B21" s="115"/>
      <c r="C21" s="116"/>
      <c r="D21" s="122"/>
      <c r="E21" s="123"/>
      <c r="F21" s="123"/>
      <c r="G21" s="123"/>
      <c r="H21" s="123"/>
      <c r="I21" s="123"/>
      <c r="J21" s="123"/>
      <c r="K21" s="123"/>
      <c r="L21" s="123"/>
      <c r="M21" s="123"/>
      <c r="N21" s="123"/>
      <c r="O21" s="123"/>
      <c r="P21" s="123"/>
      <c r="Q21" s="123"/>
      <c r="R21" s="124"/>
    </row>
    <row r="22" spans="2:18" ht="16.8" customHeight="1" x14ac:dyDescent="0.25">
      <c r="B22" s="115"/>
      <c r="C22" s="116"/>
      <c r="D22" s="122"/>
      <c r="E22" s="123"/>
      <c r="F22" s="123"/>
      <c r="G22" s="123"/>
      <c r="H22" s="123"/>
      <c r="I22" s="123"/>
      <c r="J22" s="123"/>
      <c r="K22" s="123"/>
      <c r="L22" s="123"/>
      <c r="M22" s="123"/>
      <c r="N22" s="123"/>
      <c r="O22" s="123"/>
      <c r="P22" s="123"/>
      <c r="Q22" s="123"/>
      <c r="R22" s="124"/>
    </row>
    <row r="23" spans="2:18" ht="17.399999999999999" customHeight="1" x14ac:dyDescent="0.25">
      <c r="B23" s="115"/>
      <c r="C23" s="116"/>
      <c r="D23" s="122"/>
      <c r="E23" s="123"/>
      <c r="F23" s="123"/>
      <c r="G23" s="123"/>
      <c r="H23" s="123"/>
      <c r="I23" s="123"/>
      <c r="J23" s="123"/>
      <c r="K23" s="123"/>
      <c r="L23" s="123"/>
      <c r="M23" s="123"/>
      <c r="N23" s="123"/>
      <c r="O23" s="123"/>
      <c r="P23" s="123"/>
      <c r="Q23" s="123"/>
      <c r="R23" s="124"/>
    </row>
    <row r="24" spans="2:18" ht="16.8" customHeight="1" x14ac:dyDescent="0.25">
      <c r="B24" s="115"/>
      <c r="C24" s="116"/>
      <c r="D24" s="122"/>
      <c r="E24" s="123"/>
      <c r="F24" s="123"/>
      <c r="G24" s="123"/>
      <c r="H24" s="123"/>
      <c r="I24" s="123"/>
      <c r="J24" s="123"/>
      <c r="K24" s="123"/>
      <c r="L24" s="123"/>
      <c r="M24" s="123"/>
      <c r="N24" s="123"/>
      <c r="O24" s="123"/>
      <c r="P24" s="123"/>
      <c r="Q24" s="123"/>
      <c r="R24" s="124"/>
    </row>
    <row r="25" spans="2:18" ht="16.8" customHeight="1" x14ac:dyDescent="0.25">
      <c r="B25" s="115"/>
      <c r="C25" s="116"/>
      <c r="D25" s="122"/>
      <c r="E25" s="123"/>
      <c r="F25" s="123"/>
      <c r="G25" s="123"/>
      <c r="H25" s="123"/>
      <c r="I25" s="123"/>
      <c r="J25" s="123"/>
      <c r="K25" s="123"/>
      <c r="L25" s="123"/>
      <c r="M25" s="123"/>
      <c r="N25" s="123"/>
      <c r="O25" s="123"/>
      <c r="P25" s="123"/>
      <c r="Q25" s="123"/>
      <c r="R25" s="124"/>
    </row>
    <row r="26" spans="2:18" ht="17.399999999999999" customHeight="1" x14ac:dyDescent="0.25">
      <c r="B26" s="115"/>
      <c r="C26" s="116"/>
      <c r="D26" s="122"/>
      <c r="E26" s="123"/>
      <c r="F26" s="123"/>
      <c r="G26" s="123"/>
      <c r="H26" s="123"/>
      <c r="I26" s="123"/>
      <c r="J26" s="123"/>
      <c r="K26" s="123"/>
      <c r="L26" s="123"/>
      <c r="M26" s="123"/>
      <c r="N26" s="123"/>
      <c r="O26" s="123"/>
      <c r="P26" s="123"/>
      <c r="Q26" s="123"/>
      <c r="R26" s="124"/>
    </row>
    <row r="27" spans="2:18" ht="17.399999999999999" thickBot="1" x14ac:dyDescent="0.3">
      <c r="B27" s="117"/>
      <c r="C27" s="118"/>
      <c r="D27" s="125"/>
      <c r="E27" s="126"/>
      <c r="F27" s="126"/>
      <c r="G27" s="126"/>
      <c r="H27" s="126"/>
      <c r="I27" s="126"/>
      <c r="J27" s="126"/>
      <c r="K27" s="126"/>
      <c r="L27" s="126"/>
      <c r="M27" s="126"/>
      <c r="N27" s="126"/>
      <c r="O27" s="126"/>
      <c r="P27" s="126"/>
      <c r="Q27" s="126"/>
      <c r="R27" s="127"/>
    </row>
  </sheetData>
  <mergeCells count="27">
    <mergeCell ref="H13:J14"/>
    <mergeCell ref="F13:G14"/>
    <mergeCell ref="B6:C6"/>
    <mergeCell ref="B7:C12"/>
    <mergeCell ref="B14:C14"/>
    <mergeCell ref="E9:E10"/>
    <mergeCell ref="H11:J12"/>
    <mergeCell ref="F11:G12"/>
    <mergeCell ref="E11:E12"/>
    <mergeCell ref="H8:J8"/>
    <mergeCell ref="F8:G8"/>
    <mergeCell ref="B2:R3"/>
    <mergeCell ref="B4:R4"/>
    <mergeCell ref="P6:R6"/>
    <mergeCell ref="P7:R17"/>
    <mergeCell ref="B19:C27"/>
    <mergeCell ref="D19:R27"/>
    <mergeCell ref="E13:E14"/>
    <mergeCell ref="H15:J16"/>
    <mergeCell ref="F15:G16"/>
    <mergeCell ref="E15:E16"/>
    <mergeCell ref="B15:C17"/>
    <mergeCell ref="L6:N6"/>
    <mergeCell ref="L7:N17"/>
    <mergeCell ref="E7:J7"/>
    <mergeCell ref="H9:J10"/>
    <mergeCell ref="F9:G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Case Overview</vt:lpstr>
      <vt:lpstr>Financial Data</vt:lpstr>
      <vt:lpstr>Financial Analysis</vt:lpstr>
      <vt:lpstr>Dashboards</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Apurvi Bajpai</dc:creator>
  <cp:lastModifiedBy>Apurvi Bajpai</cp:lastModifiedBy>
  <dcterms:created xsi:type="dcterms:W3CDTF">2026-07-05T09:40:47Z</dcterms:created>
  <dcterms:modified xsi:type="dcterms:W3CDTF">2026-07-06T06:36:18Z</dcterms:modified>
</cp:coreProperties>
</file>